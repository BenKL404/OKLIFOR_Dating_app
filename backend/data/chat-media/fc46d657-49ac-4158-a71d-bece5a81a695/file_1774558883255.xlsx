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6" lowestEdited="6" rupBuild="14420"/>
  <workbookPr defaultThemeVersion="153222"/>
  <bookViews>
    <workbookView xWindow="0" yWindow="0" windowWidth="19200" windowHeight="8440" firstSheet="8" activeTab="8"/>
  </bookViews>
  <sheets>
    <sheet name=" ANIMA" sheetId="1" r:id="rId1"/>
    <sheet name="ATCHANGBADE" sheetId="2" r:id="rId2"/>
    <sheet name="BAGA" sheetId="3" r:id="rId3"/>
    <sheet name="DJAMDE" sheetId="4" r:id="rId4"/>
    <sheet name="KATCHAMBA" sheetId="5" r:id="rId5"/>
    <sheet name="KOUTCHETCHEOU" sheetId="6" r:id="rId6"/>
    <sheet name="KPINZINDE" sheetId="7" r:id="rId7"/>
    <sheet name="LAMA-DESSI" sheetId="8" r:id="rId8"/>
    <sheet name="NANDOUTA" sheetId="9" r:id="rId9"/>
    <sheet name="SANDA-KAGBANDA" sheetId="10" r:id="rId10"/>
    <sheet name="SOUDOU" sheetId="11" r:id="rId11"/>
    <sheet name="SOUMDINA" sheetId="12" r:id="rId12"/>
    <sheet name="YADE" sheetId="13" r:id="rId13"/>
    <sheet name="EQUIPE 1" sheetId="14" r:id="rId14" state="hidden"/>
    <sheet name="EQUIPE 2" sheetId="15" r:id="rId15" state="hidden"/>
    <sheet name="EQUIPE 3" sheetId="16" r:id="rId16" state="hidden"/>
    <sheet name="EQUIPE 4 " sheetId="17" r:id="rId17" state="hidden"/>
    <sheet name="EQUIPE 5" sheetId="18" r:id="rId18" state="hidden"/>
    <sheet name="EQUIPE 6" sheetId="19" r:id="rId19" state="hidden"/>
    <sheet name="EQUIPE 7" sheetId="20" r:id="rId20" state="hidden"/>
    <sheet name="EQUIPE 8" sheetId="21" r:id="rId21" state="hidden"/>
    <sheet name="EQUIPE 9" sheetId="22" r:id="rId22" state="hidden"/>
  </sheets>
  <definedNames>
    <definedName name="_xlnm._FilterDatabase" localSheetId="0" hidden="1">' ANIMA'!$A$1:$I$3</definedName>
    <definedName name="_xlnm._FilterDatabase" localSheetId="1" hidden="1">ATCHANGBADE!$A$1:$F$6</definedName>
    <definedName name="_xlnm._FilterDatabase" localSheetId="2" hidden="1">BAGA!$A$1:$F$7</definedName>
    <definedName name="_xlnm._FilterDatabase" localSheetId="3" hidden="1">DJAMDE!$A$1:$F$8</definedName>
    <definedName name="_xlnm._FilterDatabase" localSheetId="4" hidden="1">KATCHAMBA!$A$1:$F$8</definedName>
    <definedName name="_xlnm._FilterDatabase" localSheetId="5" hidden="1">KOUTCHETCHEOU!$A$1:$F$11</definedName>
    <definedName name="_xlnm._FilterDatabase" localSheetId="6" hidden="1">KPINZINDE!$A$1:$F$5</definedName>
    <definedName name="_xlnm._FilterDatabase" localSheetId="7" hidden="1">'LAMA-DESSI'!$A$1:$F$7</definedName>
    <definedName name="_xlnm._FilterDatabase" localSheetId="8" hidden="1">NANDOUTA!$A$1:$F$17</definedName>
    <definedName name="_xlnm._FilterDatabase" localSheetId="9" hidden="1">'SANDA-KAGBANDA'!$A$1:$F$20</definedName>
    <definedName name="_xlnm._FilterDatabase" localSheetId="10" hidden="1">SOUDOU!$A$1:$F$9</definedName>
    <definedName name="_xlnm._FilterDatabase" localSheetId="11" hidden="1">SOUMDINA!$A$1:$F$14</definedName>
    <definedName name="_xlnm._FilterDatabase" localSheetId="12" hidden="1">YADE!$A$1:$F$3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<sst xmlns="http://schemas.openxmlformats.org/spreadsheetml/2006/main" uniqueCount="190" count="190">
  <si>
    <t>PREFECTURE</t>
  </si>
  <si>
    <t>COMMUNE</t>
  </si>
  <si>
    <t>CANTON</t>
  </si>
  <si>
    <t>LOCALITE</t>
  </si>
  <si>
    <t>Nbre de menage Enquêtés (PMT)</t>
  </si>
  <si>
    <t>Nbre de ménages prévus pour la validation</t>
  </si>
  <si>
    <t>Nbre de ménages validés</t>
  </si>
  <si>
    <t>GAP</t>
  </si>
  <si>
    <t>Nbre de ménages rejetés</t>
  </si>
  <si>
    <t>Nbre de ménages restants sur la liste</t>
  </si>
  <si>
    <t>Observations/Difficultés</t>
  </si>
  <si>
    <t>KARA</t>
  </si>
  <si>
    <t xml:space="preserve">DANKPEN </t>
  </si>
  <si>
    <t>DANKPEN 1</t>
  </si>
  <si>
    <t>KATCHAMBA</t>
  </si>
  <si>
    <t>FABRIDO</t>
  </si>
  <si>
    <t>DJABOKOU</t>
  </si>
  <si>
    <t>KOULARDO</t>
  </si>
  <si>
    <t>NAWAKOU</t>
  </si>
  <si>
    <t>TCHERKPENI</t>
  </si>
  <si>
    <t>NAMBI-KARA</t>
  </si>
  <si>
    <t>KATCHAMBA-CENTRE</t>
  </si>
  <si>
    <t>DANKPEN 3</t>
  </si>
  <si>
    <t>NANDOUTA</t>
  </si>
  <si>
    <t>POSSAO</t>
  </si>
  <si>
    <t>TCHADOU</t>
  </si>
  <si>
    <t>KPADJOLE</t>
  </si>
  <si>
    <t xml:space="preserve">KPANDJA </t>
  </si>
  <si>
    <t>BOWIDO</t>
  </si>
  <si>
    <t>N° Equipe</t>
  </si>
  <si>
    <t>REGION</t>
  </si>
  <si>
    <t xml:space="preserve">MOMPANI </t>
  </si>
  <si>
    <t>TAAMAN</t>
  </si>
  <si>
    <t>KPASSAMOANE</t>
  </si>
  <si>
    <t>BITCHABE</t>
  </si>
  <si>
    <t>KLOUKPON</t>
  </si>
  <si>
    <t>DIAB</t>
  </si>
  <si>
    <t>KPATALDO</t>
  </si>
  <si>
    <t>N’NABONNE</t>
  </si>
  <si>
    <t>NANDOUTA-CENTRE</t>
  </si>
  <si>
    <t>IWEPI</t>
  </si>
  <si>
    <t>LIWOLBO</t>
  </si>
  <si>
    <t>DANKPEN 2</t>
  </si>
  <si>
    <t>KOUTCHETCHEOU</t>
  </si>
  <si>
    <t>LANGA</t>
  </si>
  <si>
    <t>KOUKPAMBARK</t>
  </si>
  <si>
    <t>ESSOBODI</t>
  </si>
  <si>
    <t>GOUMTE</t>
  </si>
  <si>
    <t>IKOUBALBOU</t>
  </si>
  <si>
    <t>KOUKARK</t>
  </si>
  <si>
    <t>LIBEDO</t>
  </si>
  <si>
    <t>KOUTCHETCHEOU-CENTRE</t>
  </si>
  <si>
    <t>N'GNOBOUNI</t>
  </si>
  <si>
    <t>KLOUKPEN</t>
  </si>
  <si>
    <t>BASSAR</t>
  </si>
  <si>
    <t>BASSAR 4</t>
  </si>
  <si>
    <t>SANDE-KAGBANDA</t>
  </si>
  <si>
    <t>LAOUDA</t>
  </si>
  <si>
    <t>KAGBANDA</t>
  </si>
  <si>
    <t>TCHAKASSOU</t>
  </si>
  <si>
    <t>SOWALI</t>
  </si>
  <si>
    <t>BATHO</t>
  </si>
  <si>
    <t>AKPADIBIYO</t>
  </si>
  <si>
    <t>TAWADE</t>
  </si>
  <si>
    <t>PITANKPARE</t>
  </si>
  <si>
    <t>KPANKOLONGH</t>
  </si>
  <si>
    <t>BOUWAI</t>
  </si>
  <si>
    <t>TCHABOUA</t>
  </si>
  <si>
    <t>AGUINDA</t>
  </si>
  <si>
    <t>KOUNDOUM CENTRE</t>
  </si>
  <si>
    <t xml:space="preserve">KOUNDOUM PEULH </t>
  </si>
  <si>
    <t>MAOWAI</t>
  </si>
  <si>
    <t>SANDA_TE</t>
  </si>
  <si>
    <t>SIMBINE</t>
  </si>
  <si>
    <t>KOUNDOUMTA</t>
  </si>
  <si>
    <t>SAMBA</t>
  </si>
  <si>
    <t>LIYEWAI</t>
  </si>
  <si>
    <t xml:space="preserve">KOZAH </t>
  </si>
  <si>
    <t>KOZAH 3</t>
  </si>
  <si>
    <t>DJAMDE</t>
  </si>
  <si>
    <t>BOUNODA</t>
  </si>
  <si>
    <t>KPANDE-KOLI</t>
  </si>
  <si>
    <t>YAKA-WAYA</t>
  </si>
  <si>
    <t>BOUDA</t>
  </si>
  <si>
    <t>PIYAYO</t>
  </si>
  <si>
    <t xml:space="preserve">SINTCHI </t>
  </si>
  <si>
    <t>TOUNBOUA</t>
  </si>
  <si>
    <t>ASSOLI</t>
  </si>
  <si>
    <t>ASSOLI 3</t>
  </si>
  <si>
    <t>SOUDOU</t>
  </si>
  <si>
    <t>ESSOWAZINA</t>
  </si>
  <si>
    <t>SOUDOU PEULH</t>
  </si>
  <si>
    <t>GBAO</t>
  </si>
  <si>
    <t>KOLO</t>
  </si>
  <si>
    <t>SOM-GAOUDÈ</t>
  </si>
  <si>
    <t>TCHALIMDÈ</t>
  </si>
  <si>
    <t>TCHANDJO-LAO</t>
  </si>
  <si>
    <t>KPINZINDE</t>
  </si>
  <si>
    <t>AGBANG</t>
  </si>
  <si>
    <t>KPINZINDÈ</t>
  </si>
  <si>
    <t>ADOMDÈ</t>
  </si>
  <si>
    <t>WÉKÉLI</t>
  </si>
  <si>
    <t>KOZAH 4</t>
  </si>
  <si>
    <t>ATCHANGBANDE</t>
  </si>
  <si>
    <t>BÈBÈDA</t>
  </si>
  <si>
    <t>KOUDJOUKADA</t>
  </si>
  <si>
    <t>ATCHANGBADÈ</t>
  </si>
  <si>
    <t>BOUNOH</t>
  </si>
  <si>
    <t>TCHITCHAO-WAYA</t>
  </si>
  <si>
    <t>KOZAH 1</t>
  </si>
  <si>
    <t>SOUMDINA</t>
  </si>
  <si>
    <t>SODOWA</t>
  </si>
  <si>
    <t>TCHOWOU</t>
  </si>
  <si>
    <t>AGNADÈ</t>
  </si>
  <si>
    <t>EWÈDÈ</t>
  </si>
  <si>
    <t>KAADÈ</t>
  </si>
  <si>
    <t>KARÈ</t>
  </si>
  <si>
    <t>KASSI</t>
  </si>
  <si>
    <t>KATAKPA</t>
  </si>
  <si>
    <t>KOUGBÈLÈKOU</t>
  </si>
  <si>
    <t>PIDA</t>
  </si>
  <si>
    <t>POWAYI</t>
  </si>
  <si>
    <t>SÈTIDÈ</t>
  </si>
  <si>
    <t>TCHÈOU</t>
  </si>
  <si>
    <t>KOZAH 2</t>
  </si>
  <si>
    <t>YADE</t>
  </si>
  <si>
    <t>AGBANDÈ</t>
  </si>
  <si>
    <t>LOWA</t>
  </si>
  <si>
    <t>BINAH</t>
  </si>
  <si>
    <t>BINAH 1</t>
  </si>
  <si>
    <t>LAMA-DESSI</t>
  </si>
  <si>
    <t>TCHIKAWA</t>
  </si>
  <si>
    <t>FARENDE</t>
  </si>
  <si>
    <t>FARENG POUH</t>
  </si>
  <si>
    <t>HOULAH</t>
  </si>
  <si>
    <t>KEHESSIDA</t>
  </si>
  <si>
    <t>KPAMLO</t>
  </si>
  <si>
    <t>DOUFELGOU</t>
  </si>
  <si>
    <t>DOUFELGOU 1</t>
  </si>
  <si>
    <t>BAGA</t>
  </si>
  <si>
    <t>HOUNAHOU</t>
  </si>
  <si>
    <t>KIRGAH</t>
  </si>
  <si>
    <t>KOUDGOUA</t>
  </si>
  <si>
    <t>KOULINTE</t>
  </si>
  <si>
    <t>MARAGOU</t>
  </si>
  <si>
    <t>SAMARAGOU</t>
  </si>
  <si>
    <t>DOUFELGOU 2</t>
  </si>
  <si>
    <t>ANIMA</t>
  </si>
  <si>
    <t>ANIMA 1</t>
  </si>
  <si>
    <t>ANIMA 2</t>
  </si>
  <si>
    <t xml:space="preserve">Total </t>
  </si>
  <si>
    <t>Total</t>
  </si>
  <si>
    <t>Sur le PV de l'enquête PMT le nombre de ménages enquêté est 66 différent de celui figurant sur la liste PMT synchronisée par les enquêteurs qui est 64</t>
  </si>
  <si>
    <t>Sur le PV de l'enquête le nombre de ménages enquêtés est 189 mais la liste des ménages fournie par l'INSEED mentionne 217</t>
  </si>
  <si>
    <t xml:space="preserve">un rejet ( doublon) </t>
  </si>
  <si>
    <t>un rejet ( Directeur d'école)</t>
  </si>
  <si>
    <t>le nombre de ménages enquêtés est de 64 alors que sur la liste imprimée, nous avons 61 ménages et nous manquons le deuxième PV du PMT 44</t>
  </si>
  <si>
    <t>Nombreux sont les ménages qui ont été enquêtés mais n'ayant pas leurs noms sur la liste de validation</t>
  </si>
  <si>
    <t>sur la liste 68 sont enquêtés. Parmi les 68, il y a 2 doublons. (le CVD a précisé que c'est 66 ménages qui sont enquêtés).</t>
  </si>
  <si>
    <t>Sur la liste il y a 69 ménages enquêtés, mais avec 1 doublon.</t>
  </si>
  <si>
    <t>Le procès verbal de l'enquête fait état de 79 alors que la liste fournie par * l'INSEED en mentionne 85</t>
  </si>
  <si>
    <t>Sur le PV d'enquête,le nombre de ménages enquêtés est de 118 alors que sur la liste imprimé c'est 113 menages</t>
  </si>
  <si>
    <t>1 ménage proposé par le village.enregistré comme les membres d'un autre ménage et 1 ménage exclu lors  de l'enquête pour raison qu'elle a fait sa carte dans un autre village</t>
  </si>
  <si>
    <t xml:space="preserve">Sur le PV de l'enquête PMT le nombre de ménages enquêté est 17 alors sur la liste de validation il y a 18 ménages enquêtés </t>
  </si>
  <si>
    <t xml:space="preserve">Les 4 ménages rejetés sont constitués de 2 enseignants, 1 doublon et 1 non résident. </t>
  </si>
  <si>
    <t xml:space="preserve">sur la la liste  imprimée, il y'a eu un doublon de ménage qui est considéré comme ménage rejeté </t>
  </si>
  <si>
    <t xml:space="preserve">le PMT 52 ne se retrouve pas dans le lot des PV de consentement imprimés </t>
  </si>
  <si>
    <t>un doublon</t>
  </si>
  <si>
    <t xml:space="preserve">Forte mobilisation communautaire, 48 ménages validés sur 48 enquêtés.   On notes 07 ménages qui n'ont pas été touchés par l'enquête PMT
</t>
  </si>
  <si>
    <t>Forte mobilisation communautaire : 37 ménages validés sur 37 enquêtés.
La communauté a toutefois signalé l’absence de certains ménages déplacés pour des travaux champêtres.</t>
  </si>
  <si>
    <t>On note 1 rejet (Directeur d'école)</t>
  </si>
  <si>
    <t>Le nombre de ménages inscrits sur le procès-verbal (PV) de l’enquête PMT, soit 193, diffère de celui figurant sur la liste de classement des ménages, qui est de 194.
On note un rejet ( Enseignant d'Etat)</t>
  </si>
  <si>
    <t>Un quartier li n'a pas été touché par l'enquête</t>
  </si>
  <si>
    <t>5 ménages estiment enquêtés mais leur nom ne figurent pas sur la liste imprimée pour la validation mais le nombre de ménages sur le PV d'enquête est concordant avec la liste imprimée</t>
  </si>
  <si>
    <t>le ménage rejeté est un enseignant d'Etat</t>
  </si>
  <si>
    <t>Le PV d'enquête contient 65 ménages enquêtés mais la liste de validation contient 63 ménages.</t>
  </si>
  <si>
    <t xml:space="preserve">Deux ménages n'ont pas été touchés par l'enquête PMT </t>
  </si>
  <si>
    <t>Le ménage rejeté est un doublon</t>
  </si>
  <si>
    <t>le PV de l'enquête PMT n'est pas disponible dans le village</t>
  </si>
  <si>
    <t>Certains ménages se sont plaints d'avoir été enquêté mais n'ayant pas leurs noms sur la liste des enquêtés</t>
  </si>
  <si>
    <t>nombreux sont ceux qui se sont plaints d'avoir été enquêté mais n'ayant pas leurs noms sur la liste des enquêtés</t>
  </si>
  <si>
    <t>On a enregistré deux rejets (un enseignant et un étudiant)</t>
  </si>
  <si>
    <t>Le nombre de ménages inscrit (110) sur le PV d'enquête PMT est différent du nombre inscrit sur la liste de classement des ménages (111)
90 ménage validé sur 111 
Un rejet ( directeur d'école)</t>
  </si>
  <si>
    <t>NBRE DE MENAGE A ENROLER</t>
  </si>
  <si>
    <t>NBRE DE MENAGE ENROLE</t>
  </si>
  <si>
    <t>RESTE A ENROLER</t>
  </si>
  <si>
    <t>OBSERVATIONS/
DIFFICULTES</t>
  </si>
  <si>
    <t>3 sont absents et 2 ont brûlés leur PV de consentement</t>
  </si>
  <si>
    <t>3 sont absents et 2 ont brûlé leur PV de consentement</t>
  </si>
  <si>
    <t>c'est le village sur lequel nous sommes actuellement, nous allons le terminer demain</t>
  </si>
</sst>
</file>

<file path=xl/styles.xml><?xml version="1.0" encoding="utf-8"?>
<styleSheet xmlns="http://schemas.openxmlformats.org/spreadsheetml/2006/main">
  <numFmts count="1">
    <numFmt numFmtId="0" formatCode="General"/>
  </numFmts>
  <fonts count="15">
    <font>
      <name val="Calibri"/>
      <sz val="11"/>
    </font>
    <font>
      <name val="Garamond"/>
      <sz val="12"/>
      <color rgb="FF000000"/>
    </font>
    <font>
      <name val="Garamond"/>
      <b/>
      <sz val="12"/>
      <color rgb="FF000000"/>
    </font>
    <font>
      <name val="Garamond"/>
      <b/>
      <sz val="12"/>
      <color rgb="FF000000"/>
    </font>
    <font>
      <name val="Garamond"/>
      <b/>
      <sz val="12"/>
    </font>
    <font>
      <name val="Garamond"/>
      <sz val="12"/>
    </font>
    <font>
      <name val="Garamond"/>
      <sz val="12"/>
      <color rgb="FF000000"/>
    </font>
    <font>
      <name val="Garamond"/>
      <b/>
      <i/>
      <sz val="12"/>
      <color rgb="FF000000"/>
    </font>
    <font>
      <name val="Garamond"/>
      <b/>
      <i/>
      <sz val="12"/>
    </font>
    <font>
      <name val="Garamond"/>
      <b/>
      <sz val="13"/>
    </font>
    <font>
      <name val="Calibri"/>
      <sz val="11"/>
      <color rgb="FF000000"/>
    </font>
    <font>
      <name val="Garamond"/>
      <sz val="11"/>
      <color rgb="FF000000"/>
    </font>
    <font>
      <name val="Garamond"/>
      <sz val="14"/>
      <color rgb="FF000000"/>
    </font>
    <font>
      <name val="Garamond"/>
      <b/>
      <sz val="14"/>
      <color rgb="FF000000"/>
    </font>
    <font>
      <name val="Garamond"/>
      <sz val="11"/>
      <color rgb="FF000000"/>
    </font>
  </fonts>
  <fills count="15">
    <fill>
      <patternFill patternType="none"/>
    </fill>
    <fill>
      <patternFill patternType="gray125"/>
    </fill>
    <fill>
      <patternFill patternType="solid">
        <fgColor rgb="FFFFF2CB"/>
        <bgColor indexed="64"/>
      </patternFill>
    </fill>
    <fill>
      <patternFill patternType="solid">
        <fgColor rgb="FFFFC000"/>
        <bgColor indexed="64"/>
      </patternFill>
    </fill>
    <fill>
      <patternFill patternType="solid">
        <fgColor rgb="FFBED7EE"/>
        <bgColor indexed="64"/>
      </patternFill>
    </fill>
    <fill>
      <patternFill patternType="solid">
        <fgColor rgb="FFFBE4D5"/>
        <bgColor indexed="64"/>
      </patternFill>
    </fill>
    <fill>
      <patternFill patternType="solid">
        <fgColor rgb="FFA8D08E"/>
        <bgColor indexed="64"/>
      </patternFill>
    </fill>
    <fill>
      <patternFill patternType="solid">
        <fgColor rgb="FFFFFF00"/>
        <bgColor indexed="64"/>
      </patternFill>
    </fill>
    <fill>
      <patternFill patternType="solid">
        <fgColor rgb="FFFFD865"/>
        <bgColor indexed="64"/>
      </patternFill>
    </fill>
    <fill>
      <patternFill patternType="solid">
        <fgColor rgb="FF00B050"/>
        <bgColor indexed="64"/>
      </patternFill>
    </fill>
    <fill>
      <patternFill patternType="solid">
        <fgColor rgb="FFFF0000"/>
        <bgColor indexed="64"/>
      </patternFill>
    </fill>
    <fill>
      <patternFill patternType="solid">
        <fgColor rgb="FF4473C4"/>
        <bgColor indexed="64"/>
      </patternFill>
    </fill>
    <fill>
      <patternFill patternType="solid">
        <fgColor rgb="FFB4C7E7"/>
        <bgColor indexed="64"/>
      </patternFill>
    </fill>
    <fill>
      <patternFill patternType="solid">
        <fgColor rgb="FFFFFFFF"/>
        <bgColor indexed="64"/>
      </patternFill>
    </fill>
    <fill>
      <patternFill patternType="solid">
        <fgColor rgb="FFFFE598"/>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rgb="FF2F75B6"/>
      </left>
      <right style="medium">
        <color rgb="FF2F75B6"/>
      </right>
      <top style="medium">
        <color rgb="FF4472C4"/>
      </top>
      <bottom/>
      <diagonal/>
    </border>
    <border>
      <left/>
      <right style="medium">
        <color rgb="FF2F75B6"/>
      </right>
      <top style="medium">
        <color rgb="FF4472C4"/>
      </top>
      <bottom/>
      <diagonal/>
    </border>
    <border>
      <left/>
      <right style="medium">
        <color rgb="FF4472C4"/>
      </right>
      <top style="medium">
        <color rgb="FF4472C4"/>
      </top>
      <bottom/>
      <diagonal/>
    </border>
    <border>
      <left style="medium">
        <color rgb="FF4472C4"/>
      </left>
      <right style="medium">
        <color rgb="FF2F75B6"/>
      </right>
      <top style="medium">
        <color rgb="FF4472C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82">
    <xf numFmtId="0" fontId="0" fillId="0" borderId="0" xfId="0">
      <alignment vertical="center"/>
    </xf>
    <xf numFmtId="0" fontId="1" fillId="0" borderId="0" xfId="0" applyFont="1" applyFill="1" applyAlignment="1">
      <alignment vertical="bottom"/>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top" wrapText="1"/>
    </xf>
    <xf numFmtId="0" fontId="6" fillId="0" borderId="1" xfId="0" applyFont="1" applyFill="1" applyBorder="1">
      <alignment vertical="center"/>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 fillId="0" borderId="1" xfId="0" applyFont="1" applyFill="1" applyBorder="1" applyAlignment="1">
      <alignment vertical="bottom"/>
    </xf>
    <xf numFmtId="0" fontId="6" fillId="0" borderId="1" xfId="0" applyFont="1" applyFill="1" applyBorder="1" applyAlignment="1">
      <alignment vertical="center" wrapText="1"/>
    </xf>
    <xf numFmtId="0" fontId="1" fillId="0" borderId="1" xfId="0" applyFont="1" applyFill="1" applyBorder="1">
      <alignmen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7" fillId="3" borderId="5" xfId="0" applyFont="1" applyFill="1" applyBorder="1" applyAlignment="1">
      <alignment vertical="center" wrapText="1"/>
    </xf>
    <xf numFmtId="0" fontId="7" fillId="3" borderId="6" xfId="0" applyFont="1" applyFill="1" applyBorder="1" applyAlignment="1">
      <alignment vertical="center" wrapText="1"/>
    </xf>
    <xf numFmtId="0" fontId="8" fillId="4" borderId="7" xfId="0" applyFont="1" applyFill="1" applyBorder="1" applyAlignment="1">
      <alignment vertical="center" wrapText="1"/>
    </xf>
    <xf numFmtId="0" fontId="7" fillId="3" borderId="8" xfId="0" applyFont="1" applyFill="1" applyBorder="1" applyAlignment="1">
      <alignment vertical="center" wrapText="1"/>
    </xf>
    <xf numFmtId="0" fontId="8" fillId="3" borderId="7"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5" borderId="10" xfId="0" applyFont="1" applyFill="1" applyBorder="1" applyAlignment="1">
      <alignment horizontal="left" vertical="top" wrapText="1"/>
    </xf>
    <xf numFmtId="0" fontId="6" fillId="5" borderId="10" xfId="0" applyFont="1" applyFill="1" applyBorder="1">
      <alignment vertical="center"/>
    </xf>
    <xf numFmtId="0" fontId="9" fillId="0" borderId="1" xfId="0" applyFont="1" applyBorder="1" applyAlignment="1">
      <alignment horizontal="center" vertical="center" wrapText="1"/>
    </xf>
    <xf numFmtId="0" fontId="5" fillId="5" borderId="1" xfId="0" applyFont="1" applyFill="1" applyBorder="1" applyAlignment="1">
      <alignment horizontal="left" vertical="top" wrapText="1"/>
    </xf>
    <xf numFmtId="0" fontId="6" fillId="5" borderId="1" xfId="0" applyFont="1" applyFill="1" applyBorder="1">
      <alignment vertical="center"/>
    </xf>
    <xf numFmtId="0" fontId="5" fillId="5" borderId="11" xfId="0" applyFont="1" applyFill="1" applyBorder="1" applyAlignment="1">
      <alignment horizontal="center" vertical="center" wrapText="1"/>
    </xf>
    <xf numFmtId="0" fontId="5" fillId="5" borderId="12" xfId="0" applyFont="1" applyFill="1" applyBorder="1" applyAlignment="1">
      <alignment horizontal="left" vertical="top" wrapText="1"/>
    </xf>
    <xf numFmtId="0" fontId="6" fillId="5" borderId="12" xfId="0" applyFont="1" applyFill="1" applyBorder="1">
      <alignment vertical="center"/>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7" fillId="3" borderId="1" xfId="0" applyFont="1" applyFill="1" applyBorder="1" applyAlignment="1">
      <alignment vertical="center" wrapText="1"/>
    </xf>
    <xf numFmtId="0" fontId="8" fillId="4" borderId="1" xfId="0" applyFont="1" applyFill="1" applyBorder="1" applyAlignment="1">
      <alignment vertical="center" wrapText="1"/>
    </xf>
    <xf numFmtId="0" fontId="8" fillId="3"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0" fontId="6" fillId="6" borderId="1" xfId="0" applyFont="1" applyFill="1" applyBorder="1">
      <alignment vertical="center"/>
    </xf>
    <xf numFmtId="0" fontId="9" fillId="7" borderId="16" xfId="0" applyFont="1" applyFill="1" applyBorder="1" applyAlignment="1">
      <alignment horizontal="center" vertical="center" wrapText="1"/>
    </xf>
    <xf numFmtId="0" fontId="9" fillId="7" borderId="17" xfId="0" applyFont="1" applyFill="1" applyBorder="1" applyAlignment="1">
      <alignment horizontal="center" vertical="center" wrapText="1"/>
    </xf>
    <xf numFmtId="0" fontId="9" fillId="7" borderId="18" xfId="0" applyFont="1" applyFill="1" applyBorder="1" applyAlignment="1">
      <alignment horizontal="center" vertical="center" wrapText="1"/>
    </xf>
    <xf numFmtId="0" fontId="9" fillId="7" borderId="19"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8" borderId="1" xfId="0" applyFont="1" applyFill="1" applyBorder="1" applyAlignment="1">
      <alignment horizontal="left" vertical="top" wrapText="1"/>
    </xf>
    <xf numFmtId="0" fontId="6" fillId="8" borderId="1" xfId="0" applyFont="1" applyFill="1" applyBorder="1">
      <alignment vertical="center"/>
    </xf>
    <xf numFmtId="0" fontId="6" fillId="8" borderId="1" xfId="0" applyFont="1" applyFill="1" applyBorder="1" applyAlignment="1">
      <alignment vertical="center"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top" wrapText="1"/>
    </xf>
    <xf numFmtId="0" fontId="6" fillId="9" borderId="1" xfId="0" applyFont="1" applyFill="1" applyBorder="1">
      <alignment vertical="center"/>
    </xf>
    <xf numFmtId="0" fontId="9" fillId="0" borderId="1" xfId="0" applyFont="1" applyBorder="1" applyAlignment="1" quotePrefix="1">
      <alignment horizontal="center" vertical="center" wrapText="1"/>
    </xf>
    <xf numFmtId="0" fontId="10" fillId="0" borderId="1" xfId="0" applyBorder="1" applyAlignment="1">
      <alignment vertical="bottom"/>
    </xf>
    <xf numFmtId="0" fontId="9"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left" vertical="top" wrapText="1"/>
    </xf>
    <xf numFmtId="0" fontId="6" fillId="11" borderId="1" xfId="0" applyFont="1" applyFill="1" applyBorder="1">
      <alignment vertical="center"/>
    </xf>
    <xf numFmtId="0" fontId="11" fillId="11" borderId="1" xfId="0" applyFont="1" applyFill="1" applyBorder="1">
      <alignment vertical="center"/>
    </xf>
    <xf numFmtId="0" fontId="4" fillId="12" borderId="1" xfId="0" applyFont="1" applyFill="1" applyBorder="1" applyAlignment="1">
      <alignment horizontal="center" vertical="center" wrapText="1"/>
    </xf>
    <xf numFmtId="0" fontId="5" fillId="12" borderId="1" xfId="0" applyFont="1" applyFill="1" applyBorder="1" applyAlignment="1">
      <alignment horizontal="left" vertical="top" wrapText="1"/>
    </xf>
    <xf numFmtId="0" fontId="11" fillId="12" borderId="1" xfId="0" applyFont="1" applyFill="1" applyBorder="1">
      <alignment vertical="center"/>
    </xf>
    <xf numFmtId="0" fontId="2" fillId="2" borderId="23" xfId="0" applyFont="1" applyFill="1" applyBorder="1" applyAlignment="1">
      <alignment horizontal="center" vertical="center" wrapText="1"/>
    </xf>
    <xf numFmtId="0" fontId="11" fillId="6" borderId="20" xfId="0" applyFont="1" applyFill="1" applyBorder="1">
      <alignment vertical="center"/>
    </xf>
    <xf numFmtId="0" fontId="12" fillId="13" borderId="1" xfId="0" applyFont="1" applyFill="1" applyBorder="1" applyAlignment="1">
      <alignment horizontal="right" vertical="center"/>
    </xf>
    <xf numFmtId="0" fontId="9" fillId="0" borderId="22" xfId="0" applyFont="1" applyBorder="1" applyAlignment="1">
      <alignment horizontal="center" vertical="center" wrapText="1"/>
    </xf>
    <xf numFmtId="0" fontId="9" fillId="10" borderId="1" xfId="0" applyFont="1" applyFill="1" applyBorder="1" applyAlignment="1" quotePrefix="1">
      <alignment horizontal="center" vertical="center" wrapText="1"/>
    </xf>
    <xf numFmtId="0" fontId="10" fillId="10" borderId="1" xfId="0" applyFill="1" applyBorder="1" applyAlignment="1">
      <alignment vertical="bottom"/>
    </xf>
    <xf numFmtId="0" fontId="13" fillId="13" borderId="20" xfId="0" applyFont="1" applyFill="1" applyBorder="1" applyAlignment="1">
      <alignment horizontal="center" vertical="center"/>
    </xf>
    <xf numFmtId="0" fontId="13" fillId="13" borderId="21" xfId="0" applyFont="1" applyFill="1" applyBorder="1" applyAlignment="1">
      <alignment horizontal="center" vertical="center"/>
    </xf>
    <xf numFmtId="0" fontId="13" fillId="13" borderId="22" xfId="0" applyFont="1" applyFill="1" applyBorder="1" applyAlignment="1">
      <alignment horizontal="center" vertical="center"/>
    </xf>
    <xf numFmtId="0" fontId="13" fillId="13" borderId="1" xfId="0" applyFont="1" applyFill="1" applyBorder="1" applyAlignment="1">
      <alignment horizontal="right" vertical="center"/>
    </xf>
    <xf numFmtId="0" fontId="2" fillId="8" borderId="1" xfId="0" applyFont="1" applyFill="1" applyBorder="1" applyAlignment="1">
      <alignment horizontal="center" vertical="center"/>
    </xf>
    <xf numFmtId="0" fontId="11" fillId="8" borderId="20" xfId="0" applyFont="1" applyFill="1" applyBorder="1">
      <alignment vertical="center"/>
    </xf>
    <xf numFmtId="0" fontId="14" fillId="8" borderId="1" xfId="0" applyFont="1" applyFill="1" applyBorder="1">
      <alignment vertical="center"/>
    </xf>
    <xf numFmtId="0" fontId="2" fillId="14" borderId="1" xfId="0" applyFont="1" applyFill="1" applyBorder="1" applyAlignment="1">
      <alignment horizontal="center" vertical="center"/>
    </xf>
    <xf numFmtId="0" fontId="5" fillId="14" borderId="1" xfId="0" applyFont="1" applyFill="1" applyBorder="1" applyAlignment="1">
      <alignment horizontal="left" vertical="top" wrapText="1"/>
    </xf>
    <xf numFmtId="0" fontId="11" fillId="14" borderId="1" xfId="0" applyFont="1" applyFill="1" applyBorder="1">
      <alignment vertical="center"/>
    </xf>
  </cellXfs>
  <cellStyles count="1">
    <cellStyle name="常规" xfId="0" builtinId="0"/>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www.wps.cn/officeDocument/2020/cellImage" Target="cellimages.xml"/><Relationship Id="rId24" Type="http://schemas.openxmlformats.org/officeDocument/2006/relationships/sharedStrings" Target="sharedStrings.xml"/><Relationship Id="rId25" Type="http://schemas.openxmlformats.org/officeDocument/2006/relationships/styles" Target="styles.xml"/><Relationship Id="rId26"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K3"/>
  <sheetViews>
    <sheetView workbookViewId="0" topLeftCell="H1" zoomScale="70">
      <selection activeCell="D29" sqref="D29"/>
    </sheetView>
  </sheetViews>
  <sheetFormatPr defaultRowHeight="15.5" defaultColWidth="20"/>
  <cols>
    <col min="1" max="1" customWidth="1" width="12.269531" style="1"/>
    <col min="2" max="2" customWidth="1" width="18.179688" style="1"/>
    <col min="3" max="3" customWidth="1" width="17.0" style="1"/>
    <col min="4" max="4" customWidth="1" bestFit="1" width="22.726562" style="1"/>
    <col min="5" max="5" customWidth="1" bestFit="1" width="25.453125" style="1"/>
    <col min="6" max="6" customWidth="1" bestFit="1" width="23.453125" style="1"/>
    <col min="7" max="7" customWidth="1" bestFit="1" width="22.542969" style="1"/>
    <col min="8" max="8" customWidth="1" bestFit="1" width="13.0" style="1"/>
    <col min="9" max="9" customWidth="1" width="20.726562" style="1"/>
    <col min="10" max="16384" customWidth="0" width="20.726562" style="1"/>
  </cols>
  <sheetData>
    <row r="1" spans="8:8" ht="31.0">
      <c r="A1" s="2" t="s">
        <v>30</v>
      </c>
      <c r="B1" s="3" t="s">
        <v>0</v>
      </c>
      <c r="C1" s="2" t="s">
        <v>1</v>
      </c>
      <c r="D1" s="2" t="s">
        <v>2</v>
      </c>
      <c r="E1" s="2" t="s">
        <v>3</v>
      </c>
      <c r="F1" s="4" t="s">
        <v>183</v>
      </c>
      <c r="G1" s="4" t="s">
        <v>184</v>
      </c>
      <c r="H1" s="4" t="s">
        <v>185</v>
      </c>
      <c r="I1" s="5" t="s">
        <v>186</v>
      </c>
    </row>
    <row r="2" spans="8:8">
      <c r="A2" s="6" t="s">
        <v>11</v>
      </c>
      <c r="B2" s="6" t="s">
        <v>137</v>
      </c>
      <c r="C2" s="6" t="s">
        <v>146</v>
      </c>
      <c r="D2" s="6" t="s">
        <v>147</v>
      </c>
      <c r="E2" s="7" t="s">
        <v>148</v>
      </c>
      <c r="F2" s="8">
        <v>104.0</v>
      </c>
      <c r="G2" s="9">
        <v>104.0</v>
      </c>
      <c r="H2" s="9">
        <v>0.0</v>
      </c>
      <c r="I2" s="9"/>
    </row>
    <row r="3" spans="8:8">
      <c r="A3" s="6" t="s">
        <v>11</v>
      </c>
      <c r="B3" s="6" t="s">
        <v>137</v>
      </c>
      <c r="C3" s="6" t="s">
        <v>146</v>
      </c>
      <c r="D3" s="6" t="s">
        <v>147</v>
      </c>
      <c r="E3" s="7" t="s">
        <v>149</v>
      </c>
      <c r="F3" s="8">
        <v>107.0</v>
      </c>
      <c r="G3" s="9">
        <v>107.0</v>
      </c>
      <c r="H3" s="9">
        <v>0.0</v>
      </c>
      <c r="I3" s="9"/>
    </row>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2.xml><?xml version="1.0" encoding="utf-8"?>
<worksheet xmlns:r="http://schemas.openxmlformats.org/officeDocument/2006/relationships" xmlns="http://schemas.openxmlformats.org/spreadsheetml/2006/main">
  <dimension ref="A1:K8"/>
  <sheetViews>
    <sheetView workbookViewId="0" zoomScale="70">
      <selection activeCell="F1" sqref="F1:I1"/>
    </sheetView>
  </sheetViews>
  <sheetFormatPr defaultRowHeight="15.5" defaultColWidth="20"/>
  <cols>
    <col min="1" max="1" customWidth="1" width="12.269531" style="1"/>
    <col min="2" max="2" customWidth="1" width="18.179688" style="1"/>
    <col min="3" max="3" customWidth="1" bestFit="1" width="14.453125" style="1"/>
    <col min="4" max="4" customWidth="1" bestFit="1" width="20.269531" style="1"/>
    <col min="5" max="5" customWidth="1" bestFit="1" width="22.0" style="1"/>
    <col min="6" max="6" customWidth="1" width="19.453125" style="1"/>
    <col min="7" max="8" customWidth="0" width="20.726562" style="1"/>
    <col min="9" max="9" customWidth="1" width="20.726562" style="1"/>
    <col min="10" max="16384" customWidth="0" width="20.726562" style="1"/>
  </cols>
  <sheetData>
    <row r="1" spans="8:8" ht="46.5">
      <c r="A1" s="2" t="s">
        <v>30</v>
      </c>
      <c r="B1" s="3" t="s">
        <v>0</v>
      </c>
      <c r="C1" s="2" t="s">
        <v>1</v>
      </c>
      <c r="D1" s="2" t="s">
        <v>2</v>
      </c>
      <c r="E1" s="2" t="s">
        <v>3</v>
      </c>
      <c r="F1" s="4" t="s">
        <v>183</v>
      </c>
      <c r="G1" s="4" t="s">
        <v>184</v>
      </c>
      <c r="H1" s="4" t="s">
        <v>185</v>
      </c>
      <c r="I1" s="5" t="s">
        <v>186</v>
      </c>
    </row>
    <row r="2" spans="8:8">
      <c r="A2" s="6" t="s">
        <v>11</v>
      </c>
      <c r="B2" s="6" t="s">
        <v>77</v>
      </c>
      <c r="C2" s="6" t="s">
        <v>102</v>
      </c>
      <c r="D2" s="6" t="s">
        <v>103</v>
      </c>
      <c r="E2" s="7" t="s">
        <v>104</v>
      </c>
      <c r="F2" s="8">
        <v>90.0</v>
      </c>
      <c r="G2" s="10"/>
      <c r="H2" s="10"/>
      <c r="I2" s="10"/>
    </row>
    <row r="3" spans="8:8">
      <c r="A3" s="6" t="s">
        <v>11</v>
      </c>
      <c r="B3" s="6" t="s">
        <v>77</v>
      </c>
      <c r="C3" s="6" t="s">
        <v>102</v>
      </c>
      <c r="D3" s="6" t="s">
        <v>103</v>
      </c>
      <c r="E3" s="7" t="s">
        <v>105</v>
      </c>
      <c r="F3" s="8">
        <v>90.0</v>
      </c>
      <c r="G3" s="10"/>
      <c r="H3" s="10"/>
      <c r="I3" s="10"/>
    </row>
    <row r="4" spans="8:8">
      <c r="A4" s="6" t="s">
        <v>11</v>
      </c>
      <c r="B4" s="6" t="s">
        <v>77</v>
      </c>
      <c r="C4" s="6" t="s">
        <v>102</v>
      </c>
      <c r="D4" s="6" t="s">
        <v>103</v>
      </c>
      <c r="E4" s="7" t="s">
        <v>106</v>
      </c>
      <c r="F4" s="8">
        <v>90.0</v>
      </c>
      <c r="G4" s="10"/>
      <c r="H4" s="10"/>
      <c r="I4" s="10"/>
    </row>
    <row r="5" spans="8:8">
      <c r="A5" s="6" t="s">
        <v>11</v>
      </c>
      <c r="B5" s="6" t="s">
        <v>77</v>
      </c>
      <c r="C5" s="6" t="s">
        <v>102</v>
      </c>
      <c r="D5" s="6" t="s">
        <v>103</v>
      </c>
      <c r="E5" s="7" t="s">
        <v>107</v>
      </c>
      <c r="F5" s="8">
        <v>130.0</v>
      </c>
      <c r="G5" s="10"/>
      <c r="H5" s="10"/>
      <c r="I5" s="10"/>
    </row>
    <row r="6" spans="8:8">
      <c r="A6" s="6" t="s">
        <v>11</v>
      </c>
      <c r="B6" s="6" t="s">
        <v>77</v>
      </c>
      <c r="C6" s="6" t="s">
        <v>102</v>
      </c>
      <c r="D6" s="6" t="s">
        <v>103</v>
      </c>
      <c r="E6" s="7" t="s">
        <v>108</v>
      </c>
      <c r="F6" s="8">
        <v>81.0</v>
      </c>
      <c r="G6" s="10"/>
      <c r="H6" s="10"/>
      <c r="I6" s="10"/>
    </row>
    <row r="7" spans="8:8" ht="13.15" customHeight="1"/>
    <row r="8"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3.xml><?xml version="1.0" encoding="utf-8"?>
<worksheet xmlns:r="http://schemas.openxmlformats.org/officeDocument/2006/relationships" xmlns="http://schemas.openxmlformats.org/spreadsheetml/2006/main">
  <dimension ref="A1:K9"/>
  <sheetViews>
    <sheetView workbookViewId="0" zoomScale="70">
      <selection activeCell="F1" sqref="F1:I1"/>
    </sheetView>
  </sheetViews>
  <sheetFormatPr defaultRowHeight="15.5" defaultColWidth="20"/>
  <cols>
    <col min="1" max="1" customWidth="1" width="12.269531" style="1"/>
    <col min="2" max="2" customWidth="1" width="18.179688" style="1"/>
    <col min="3" max="3" customWidth="1" width="17.0" style="1"/>
    <col min="4" max="4" customWidth="1" bestFit="1" width="11.542969" style="1"/>
    <col min="5" max="5" customWidth="1" bestFit="1" width="15.269531" style="1"/>
    <col min="6" max="6" customWidth="1" bestFit="1" width="18.453125" style="1"/>
    <col min="7" max="16384" customWidth="0" width="20.726562" style="1"/>
  </cols>
  <sheetData>
    <row r="1" spans="8:8" ht="46.5">
      <c r="A1" s="2" t="s">
        <v>30</v>
      </c>
      <c r="B1" s="3" t="s">
        <v>0</v>
      </c>
      <c r="C1" s="2" t="s">
        <v>1</v>
      </c>
      <c r="D1" s="2" t="s">
        <v>2</v>
      </c>
      <c r="E1" s="2" t="s">
        <v>3</v>
      </c>
      <c r="F1" s="4" t="s">
        <v>183</v>
      </c>
      <c r="G1" s="4" t="s">
        <v>184</v>
      </c>
      <c r="H1" s="4" t="s">
        <v>185</v>
      </c>
      <c r="I1" s="5" t="s">
        <v>186</v>
      </c>
    </row>
    <row r="2" spans="8:8" ht="24.0" customHeight="1">
      <c r="A2" s="6" t="s">
        <v>11</v>
      </c>
      <c r="B2" s="6" t="s">
        <v>137</v>
      </c>
      <c r="C2" s="6" t="s">
        <v>138</v>
      </c>
      <c r="D2" s="6" t="s">
        <v>139</v>
      </c>
      <c r="E2" s="7" t="s">
        <v>140</v>
      </c>
      <c r="F2" s="8">
        <v>90.0</v>
      </c>
      <c r="G2" s="10"/>
      <c r="H2" s="10"/>
      <c r="I2" s="10"/>
    </row>
    <row r="3" spans="8:8" ht="21.0" customHeight="1">
      <c r="A3" s="6" t="s">
        <v>11</v>
      </c>
      <c r="B3" s="6" t="s">
        <v>137</v>
      </c>
      <c r="C3" s="6" t="s">
        <v>138</v>
      </c>
      <c r="D3" s="6" t="s">
        <v>139</v>
      </c>
      <c r="E3" s="7" t="s">
        <v>141</v>
      </c>
      <c r="F3" s="8">
        <v>90.0</v>
      </c>
      <c r="G3" s="10"/>
      <c r="H3" s="10"/>
      <c r="I3" s="10"/>
    </row>
    <row r="4" spans="8:8" ht="18.75" customHeight="1">
      <c r="A4" s="6" t="s">
        <v>11</v>
      </c>
      <c r="B4" s="6" t="s">
        <v>137</v>
      </c>
      <c r="C4" s="6" t="s">
        <v>138</v>
      </c>
      <c r="D4" s="6" t="s">
        <v>139</v>
      </c>
      <c r="E4" s="7" t="s">
        <v>142</v>
      </c>
      <c r="F4" s="8">
        <v>90.0</v>
      </c>
      <c r="G4" s="10"/>
      <c r="H4" s="10"/>
      <c r="I4" s="10"/>
    </row>
    <row r="5" spans="8:8" ht="23.25" customHeight="1">
      <c r="A5" s="6" t="s">
        <v>11</v>
      </c>
      <c r="B5" s="6" t="s">
        <v>137</v>
      </c>
      <c r="C5" s="6" t="s">
        <v>138</v>
      </c>
      <c r="D5" s="6" t="s">
        <v>139</v>
      </c>
      <c r="E5" s="7" t="s">
        <v>143</v>
      </c>
      <c r="F5" s="8">
        <v>130.0</v>
      </c>
      <c r="G5" s="10"/>
      <c r="H5" s="10"/>
      <c r="I5" s="10"/>
    </row>
    <row r="6" spans="8:8" ht="21.75" customHeight="1">
      <c r="A6" s="6" t="s">
        <v>11</v>
      </c>
      <c r="B6" s="6" t="s">
        <v>137</v>
      </c>
      <c r="C6" s="6" t="s">
        <v>138</v>
      </c>
      <c r="D6" s="6" t="s">
        <v>139</v>
      </c>
      <c r="E6" s="7" t="s">
        <v>144</v>
      </c>
      <c r="F6" s="8">
        <v>90.0</v>
      </c>
      <c r="G6" s="10"/>
      <c r="H6" s="10"/>
      <c r="I6" s="10"/>
    </row>
    <row r="7" spans="8:8" ht="19.5" customHeight="1">
      <c r="A7" s="6" t="s">
        <v>11</v>
      </c>
      <c r="B7" s="6" t="s">
        <v>137</v>
      </c>
      <c r="C7" s="6" t="s">
        <v>138</v>
      </c>
      <c r="D7" s="6" t="s">
        <v>139</v>
      </c>
      <c r="E7" s="7" t="s">
        <v>145</v>
      </c>
      <c r="F7" s="8">
        <v>90.0</v>
      </c>
      <c r="G7" s="10"/>
      <c r="H7" s="10"/>
      <c r="I7" s="10"/>
    </row>
    <row r="8" spans="8:8" ht="13.15" customHeight="1"/>
    <row r="9"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4.xml><?xml version="1.0" encoding="utf-8"?>
<worksheet xmlns:r="http://schemas.openxmlformats.org/officeDocument/2006/relationships" xmlns="http://schemas.openxmlformats.org/spreadsheetml/2006/main">
  <dimension ref="A1:K9"/>
  <sheetViews>
    <sheetView workbookViewId="0" topLeftCell="C1" zoomScale="70">
      <selection activeCell="F1" sqref="F1:I1"/>
    </sheetView>
  </sheetViews>
  <sheetFormatPr defaultRowHeight="15.5" defaultColWidth="20"/>
  <cols>
    <col min="1" max="1" customWidth="1" width="12.269531" style="1"/>
    <col min="2" max="2" customWidth="1" width="18.179688" style="1"/>
    <col min="3" max="3" customWidth="1" bestFit="1" width="14.453125" style="1"/>
    <col min="4" max="4" customWidth="1" bestFit="1" width="11.542969" style="1"/>
    <col min="5" max="5" customWidth="1" bestFit="1" width="17.0" style="1"/>
    <col min="6" max="6" customWidth="1" bestFit="1" width="18.453125" style="1"/>
    <col min="7" max="16384" customWidth="0" width="20.726562" style="1"/>
  </cols>
  <sheetData>
    <row r="1" spans="8:8" ht="46.5">
      <c r="A1" s="2" t="s">
        <v>30</v>
      </c>
      <c r="B1" s="3" t="s">
        <v>0</v>
      </c>
      <c r="C1" s="2" t="s">
        <v>1</v>
      </c>
      <c r="D1" s="2" t="s">
        <v>2</v>
      </c>
      <c r="E1" s="2" t="s">
        <v>3</v>
      </c>
      <c r="F1" s="4" t="s">
        <v>183</v>
      </c>
      <c r="G1" s="4" t="s">
        <v>184</v>
      </c>
      <c r="H1" s="4" t="s">
        <v>185</v>
      </c>
      <c r="I1" s="5" t="s">
        <v>186</v>
      </c>
    </row>
    <row r="2" spans="8:8">
      <c r="A2" s="6" t="s">
        <v>11</v>
      </c>
      <c r="B2" s="6" t="s">
        <v>77</v>
      </c>
      <c r="C2" s="6" t="s">
        <v>102</v>
      </c>
      <c r="D2" s="6" t="s">
        <v>79</v>
      </c>
      <c r="E2" s="7" t="s">
        <v>80</v>
      </c>
      <c r="F2" s="9">
        <v>80.0</v>
      </c>
      <c r="G2" s="10"/>
      <c r="H2" s="10"/>
      <c r="I2" s="10"/>
    </row>
    <row r="3" spans="8:8">
      <c r="A3" s="6" t="s">
        <v>11</v>
      </c>
      <c r="B3" s="6" t="s">
        <v>77</v>
      </c>
      <c r="C3" s="6" t="s">
        <v>102</v>
      </c>
      <c r="D3" s="6" t="s">
        <v>79</v>
      </c>
      <c r="E3" s="7" t="s">
        <v>81</v>
      </c>
      <c r="F3" s="9">
        <v>96.0</v>
      </c>
      <c r="G3" s="10"/>
      <c r="H3" s="10"/>
      <c r="I3" s="10"/>
    </row>
    <row r="4" spans="8:8">
      <c r="A4" s="6" t="s">
        <v>11</v>
      </c>
      <c r="B4" s="6" t="s">
        <v>77</v>
      </c>
      <c r="C4" s="6" t="s">
        <v>102</v>
      </c>
      <c r="D4" s="6" t="s">
        <v>79</v>
      </c>
      <c r="E4" s="7" t="s">
        <v>82</v>
      </c>
      <c r="F4" s="9">
        <v>87.0</v>
      </c>
      <c r="G4" s="10"/>
      <c r="H4" s="10"/>
      <c r="I4" s="10"/>
    </row>
    <row r="5" spans="8:8">
      <c r="A5" s="6" t="s">
        <v>11</v>
      </c>
      <c r="B5" s="6" t="s">
        <v>77</v>
      </c>
      <c r="C5" s="6" t="s">
        <v>102</v>
      </c>
      <c r="D5" s="6" t="s">
        <v>79</v>
      </c>
      <c r="E5" s="7" t="s">
        <v>83</v>
      </c>
      <c r="F5" s="9">
        <v>98.0</v>
      </c>
      <c r="G5" s="10"/>
      <c r="H5" s="10"/>
      <c r="I5" s="10"/>
    </row>
    <row r="6" spans="8:8">
      <c r="A6" s="6" t="s">
        <v>11</v>
      </c>
      <c r="B6" s="6" t="s">
        <v>77</v>
      </c>
      <c r="C6" s="6" t="s">
        <v>102</v>
      </c>
      <c r="D6" s="6" t="s">
        <v>79</v>
      </c>
      <c r="E6" s="7" t="s">
        <v>84</v>
      </c>
      <c r="F6" s="9">
        <v>166.0</v>
      </c>
      <c r="G6" s="10"/>
      <c r="H6" s="10"/>
      <c r="I6" s="10"/>
    </row>
    <row r="7" spans="8:8">
      <c r="A7" s="6" t="s">
        <v>11</v>
      </c>
      <c r="B7" s="6" t="s">
        <v>77</v>
      </c>
      <c r="C7" s="6" t="s">
        <v>102</v>
      </c>
      <c r="D7" s="6" t="s">
        <v>79</v>
      </c>
      <c r="E7" s="7" t="s">
        <v>85</v>
      </c>
      <c r="F7" s="9">
        <v>90.0</v>
      </c>
      <c r="G7" s="10"/>
      <c r="H7" s="10"/>
      <c r="I7" s="10"/>
    </row>
    <row r="8" spans="8:8">
      <c r="A8" s="6" t="s">
        <v>11</v>
      </c>
      <c r="B8" s="6" t="s">
        <v>77</v>
      </c>
      <c r="C8" s="6" t="s">
        <v>102</v>
      </c>
      <c r="D8" s="6" t="s">
        <v>79</v>
      </c>
      <c r="E8" s="7" t="s">
        <v>86</v>
      </c>
      <c r="F8" s="9">
        <v>85.0</v>
      </c>
      <c r="G8" s="10"/>
      <c r="H8" s="10"/>
      <c r="I8" s="10"/>
    </row>
    <row r="9"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5.xml><?xml version="1.0" encoding="utf-8"?>
<worksheet xmlns:r="http://schemas.openxmlformats.org/officeDocument/2006/relationships" xmlns="http://schemas.openxmlformats.org/spreadsheetml/2006/main">
  <dimension ref="A1:K10"/>
  <sheetViews>
    <sheetView workbookViewId="0" zoomScale="70">
      <selection activeCell="F1" sqref="F1:I1"/>
    </sheetView>
  </sheetViews>
  <sheetFormatPr defaultRowHeight="15.5" defaultColWidth="20"/>
  <cols>
    <col min="1" max="1" customWidth="1" width="12.269531" style="1"/>
    <col min="2" max="2" customWidth="1" width="18.179688" style="1"/>
    <col min="3" max="3" customWidth="1" bestFit="1" width="21.0" style="1"/>
    <col min="4" max="4" customWidth="1" bestFit="1" width="17.816406" style="1"/>
    <col min="5" max="5" customWidth="1" width="25.453125" style="1"/>
    <col min="6" max="6" customWidth="1" bestFit="1" width="21.0" style="1"/>
    <col min="7" max="16384" customWidth="0" width="20.726562" style="1"/>
  </cols>
  <sheetData>
    <row r="1" spans="8:8" ht="46.5">
      <c r="A1" s="2" t="s">
        <v>30</v>
      </c>
      <c r="B1" s="3" t="s">
        <v>0</v>
      </c>
      <c r="C1" s="2" t="s">
        <v>1</v>
      </c>
      <c r="D1" s="2" t="s">
        <v>2</v>
      </c>
      <c r="E1" s="2" t="s">
        <v>3</v>
      </c>
      <c r="F1" s="4" t="s">
        <v>183</v>
      </c>
      <c r="G1" s="4" t="s">
        <v>184</v>
      </c>
      <c r="H1" s="4" t="s">
        <v>185</v>
      </c>
      <c r="I1" s="5" t="s">
        <v>186</v>
      </c>
    </row>
    <row r="2" spans="8:8">
      <c r="A2" s="6" t="s">
        <v>11</v>
      </c>
      <c r="B2" s="6" t="s">
        <v>12</v>
      </c>
      <c r="C2" s="6" t="s">
        <v>13</v>
      </c>
      <c r="D2" s="6" t="s">
        <v>14</v>
      </c>
      <c r="E2" s="7" t="s">
        <v>15</v>
      </c>
      <c r="F2" s="8">
        <v>143.0</v>
      </c>
      <c r="G2" s="10"/>
      <c r="H2" s="10"/>
      <c r="I2" s="10"/>
    </row>
    <row r="3" spans="8:8">
      <c r="A3" s="6" t="s">
        <v>11</v>
      </c>
      <c r="B3" s="6" t="s">
        <v>12</v>
      </c>
      <c r="C3" s="6" t="s">
        <v>13</v>
      </c>
      <c r="D3" s="6" t="s">
        <v>14</v>
      </c>
      <c r="E3" s="7" t="s">
        <v>16</v>
      </c>
      <c r="F3" s="8">
        <v>130.0</v>
      </c>
      <c r="G3" s="10"/>
      <c r="H3" s="10"/>
      <c r="I3" s="10"/>
    </row>
    <row r="4" spans="8:8">
      <c r="A4" s="6" t="s">
        <v>11</v>
      </c>
      <c r="B4" s="6" t="s">
        <v>12</v>
      </c>
      <c r="C4" s="6" t="s">
        <v>13</v>
      </c>
      <c r="D4" s="6" t="s">
        <v>14</v>
      </c>
      <c r="E4" s="7" t="s">
        <v>17</v>
      </c>
      <c r="F4" s="8">
        <v>64.0</v>
      </c>
      <c r="G4" s="10"/>
      <c r="H4" s="10"/>
      <c r="I4" s="10"/>
    </row>
    <row r="5" spans="8:8">
      <c r="A5" s="6" t="s">
        <v>11</v>
      </c>
      <c r="B5" s="6" t="s">
        <v>12</v>
      </c>
      <c r="C5" s="6" t="s">
        <v>13</v>
      </c>
      <c r="D5" s="6" t="s">
        <v>14</v>
      </c>
      <c r="E5" s="7" t="s">
        <v>18</v>
      </c>
      <c r="F5" s="8">
        <v>140.0</v>
      </c>
      <c r="G5" s="10"/>
      <c r="H5" s="10"/>
      <c r="I5" s="10"/>
    </row>
    <row r="6" spans="8:8">
      <c r="A6" s="6" t="s">
        <v>11</v>
      </c>
      <c r="B6" s="6" t="s">
        <v>12</v>
      </c>
      <c r="C6" s="6" t="s">
        <v>13</v>
      </c>
      <c r="D6" s="6" t="s">
        <v>14</v>
      </c>
      <c r="E6" s="7" t="s">
        <v>19</v>
      </c>
      <c r="F6" s="8">
        <v>18.0</v>
      </c>
      <c r="G6" s="10"/>
      <c r="H6" s="10"/>
      <c r="I6" s="10"/>
    </row>
    <row r="7" spans="8:8">
      <c r="A7" s="6" t="s">
        <v>11</v>
      </c>
      <c r="B7" s="6" t="s">
        <v>12</v>
      </c>
      <c r="C7" s="6" t="s">
        <v>13</v>
      </c>
      <c r="D7" s="6" t="s">
        <v>14</v>
      </c>
      <c r="E7" s="7" t="s">
        <v>20</v>
      </c>
      <c r="F7" s="8">
        <v>37.0</v>
      </c>
      <c r="G7" s="10"/>
      <c r="H7" s="10"/>
      <c r="I7" s="10"/>
    </row>
    <row r="8" spans="8:8">
      <c r="A8" s="6" t="s">
        <v>11</v>
      </c>
      <c r="B8" s="6" t="s">
        <v>12</v>
      </c>
      <c r="C8" s="6" t="s">
        <v>13</v>
      </c>
      <c r="D8" s="6" t="s">
        <v>14</v>
      </c>
      <c r="E8" s="7" t="s">
        <v>21</v>
      </c>
      <c r="F8" s="8">
        <v>139.0</v>
      </c>
      <c r="G8" s="10"/>
      <c r="H8" s="10"/>
      <c r="I8" s="10"/>
    </row>
    <row r="9" spans="8:8" ht="13.15" customHeight="1"/>
    <row r="10"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6.xml><?xml version="1.0" encoding="utf-8"?>
<worksheet xmlns:r="http://schemas.openxmlformats.org/officeDocument/2006/relationships" xmlns="http://schemas.openxmlformats.org/spreadsheetml/2006/main">
  <dimension ref="A1:K13"/>
  <sheetViews>
    <sheetView workbookViewId="0" zoomScale="70">
      <selection activeCell="F1" sqref="F1:I1"/>
    </sheetView>
  </sheetViews>
  <sheetFormatPr defaultRowHeight="15.5" defaultColWidth="20"/>
  <cols>
    <col min="1" max="1" customWidth="1" width="12.269531" style="1"/>
    <col min="2" max="2" customWidth="1" width="18.179688" style="1"/>
    <col min="3" max="3" customWidth="1" width="17.0" style="1"/>
    <col min="4" max="4" customWidth="1" bestFit="1" width="22.726562" style="1"/>
    <col min="5" max="5" customWidth="1" bestFit="1" width="25.453125" style="1"/>
    <col min="6" max="6" customWidth="1" width="19.453125" style="1"/>
    <col min="7" max="16384" customWidth="0" width="20.726562" style="1"/>
  </cols>
  <sheetData>
    <row r="1" spans="8:8" ht="46.5">
      <c r="A1" s="2" t="s">
        <v>30</v>
      </c>
      <c r="B1" s="3" t="s">
        <v>0</v>
      </c>
      <c r="C1" s="2" t="s">
        <v>1</v>
      </c>
      <c r="D1" s="2" t="s">
        <v>2</v>
      </c>
      <c r="E1" s="2" t="s">
        <v>3</v>
      </c>
      <c r="F1" s="4" t="s">
        <v>183</v>
      </c>
      <c r="G1" s="4" t="s">
        <v>184</v>
      </c>
      <c r="H1" s="4" t="s">
        <v>185</v>
      </c>
      <c r="I1" s="5" t="s">
        <v>186</v>
      </c>
    </row>
    <row r="2" spans="8:8">
      <c r="A2" s="6" t="s">
        <v>11</v>
      </c>
      <c r="B2" s="6" t="s">
        <v>12</v>
      </c>
      <c r="C2" s="6" t="s">
        <v>42</v>
      </c>
      <c r="D2" s="6" t="s">
        <v>43</v>
      </c>
      <c r="E2" s="7" t="s">
        <v>44</v>
      </c>
      <c r="F2" s="8">
        <v>187.0</v>
      </c>
      <c r="G2" s="10"/>
      <c r="H2" s="10"/>
      <c r="I2" s="10"/>
    </row>
    <row r="3" spans="8:8">
      <c r="A3" s="6" t="s">
        <v>11</v>
      </c>
      <c r="B3" s="6" t="s">
        <v>12</v>
      </c>
      <c r="C3" s="6" t="s">
        <v>42</v>
      </c>
      <c r="D3" s="6" t="s">
        <v>43</v>
      </c>
      <c r="E3" s="7" t="s">
        <v>45</v>
      </c>
      <c r="F3" s="8">
        <v>96.0</v>
      </c>
      <c r="G3" s="10"/>
      <c r="H3" s="10"/>
      <c r="I3" s="10"/>
    </row>
    <row r="4" spans="8:8">
      <c r="A4" s="6" t="s">
        <v>11</v>
      </c>
      <c r="B4" s="6" t="s">
        <v>12</v>
      </c>
      <c r="C4" s="6" t="s">
        <v>42</v>
      </c>
      <c r="D4" s="6" t="s">
        <v>43</v>
      </c>
      <c r="E4" s="7" t="s">
        <v>46</v>
      </c>
      <c r="F4" s="8">
        <v>54.0</v>
      </c>
      <c r="G4" s="10"/>
      <c r="H4" s="10"/>
      <c r="I4" s="10"/>
    </row>
    <row r="5" spans="8:8">
      <c r="A5" s="6" t="s">
        <v>11</v>
      </c>
      <c r="B5" s="6" t="s">
        <v>12</v>
      </c>
      <c r="C5" s="6" t="s">
        <v>42</v>
      </c>
      <c r="D5" s="6" t="s">
        <v>43</v>
      </c>
      <c r="E5" s="7" t="s">
        <v>47</v>
      </c>
      <c r="F5" s="8">
        <v>63.0</v>
      </c>
      <c r="G5" s="10"/>
      <c r="H5" s="10"/>
      <c r="I5" s="10"/>
    </row>
    <row r="6" spans="8:8">
      <c r="A6" s="6" t="s">
        <v>11</v>
      </c>
      <c r="B6" s="6" t="s">
        <v>12</v>
      </c>
      <c r="C6" s="6" t="s">
        <v>42</v>
      </c>
      <c r="D6" s="6" t="s">
        <v>43</v>
      </c>
      <c r="E6" s="7" t="s">
        <v>48</v>
      </c>
      <c r="F6" s="8">
        <v>12.0</v>
      </c>
      <c r="G6" s="10"/>
      <c r="H6" s="10"/>
      <c r="I6" s="10"/>
    </row>
    <row r="7" spans="8:8">
      <c r="A7" s="6" t="s">
        <v>11</v>
      </c>
      <c r="B7" s="6" t="s">
        <v>12</v>
      </c>
      <c r="C7" s="6" t="s">
        <v>42</v>
      </c>
      <c r="D7" s="6" t="s">
        <v>43</v>
      </c>
      <c r="E7" s="7" t="s">
        <v>49</v>
      </c>
      <c r="F7" s="8">
        <v>36.0</v>
      </c>
      <c r="G7" s="10"/>
      <c r="H7" s="10"/>
      <c r="I7" s="10"/>
    </row>
    <row r="8" spans="8:8">
      <c r="A8" s="6" t="s">
        <v>11</v>
      </c>
      <c r="B8" s="6" t="s">
        <v>12</v>
      </c>
      <c r="C8" s="6" t="s">
        <v>42</v>
      </c>
      <c r="D8" s="6" t="s">
        <v>43</v>
      </c>
      <c r="E8" s="7" t="s">
        <v>50</v>
      </c>
      <c r="F8" s="8">
        <v>46.0</v>
      </c>
      <c r="G8" s="10"/>
      <c r="H8" s="10"/>
      <c r="I8" s="10"/>
    </row>
    <row r="9" spans="8:8" ht="31.0">
      <c r="A9" s="6" t="s">
        <v>11</v>
      </c>
      <c r="B9" s="6" t="s">
        <v>12</v>
      </c>
      <c r="C9" s="6" t="s">
        <v>42</v>
      </c>
      <c r="D9" s="6" t="s">
        <v>43</v>
      </c>
      <c r="E9" s="11" t="s">
        <v>51</v>
      </c>
      <c r="F9" s="8">
        <v>226.0</v>
      </c>
      <c r="G9" s="10"/>
      <c r="H9" s="10"/>
      <c r="I9" s="10"/>
    </row>
    <row r="10" spans="8:8">
      <c r="A10" s="6" t="s">
        <v>11</v>
      </c>
      <c r="B10" s="6" t="s">
        <v>12</v>
      </c>
      <c r="C10" s="6" t="s">
        <v>42</v>
      </c>
      <c r="D10" s="6" t="s">
        <v>43</v>
      </c>
      <c r="E10" s="7" t="s">
        <v>52</v>
      </c>
      <c r="F10" s="8">
        <v>60.0</v>
      </c>
      <c r="G10" s="10"/>
      <c r="H10" s="10"/>
      <c r="I10" s="10"/>
    </row>
    <row r="11" spans="8:8">
      <c r="A11" s="6" t="s">
        <v>11</v>
      </c>
      <c r="B11" s="6" t="s">
        <v>12</v>
      </c>
      <c r="C11" s="6" t="s">
        <v>42</v>
      </c>
      <c r="D11" s="6" t="s">
        <v>43</v>
      </c>
      <c r="E11" s="7" t="s">
        <v>53</v>
      </c>
      <c r="F11" s="8">
        <v>55.0</v>
      </c>
      <c r="G11" s="10"/>
      <c r="H11" s="10"/>
      <c r="I11" s="10"/>
    </row>
    <row r="12" spans="8:8" ht="13.15" customHeight="1"/>
    <row r="13"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7.xml><?xml version="1.0" encoding="utf-8"?>
<worksheet xmlns:r="http://schemas.openxmlformats.org/officeDocument/2006/relationships" xmlns="http://schemas.openxmlformats.org/spreadsheetml/2006/main">
  <dimension ref="A1:K7"/>
  <sheetViews>
    <sheetView workbookViewId="0" zoomScale="70">
      <selection activeCell="F1" sqref="F1:I1"/>
    </sheetView>
  </sheetViews>
  <sheetFormatPr defaultRowHeight="15.5" defaultColWidth="20"/>
  <cols>
    <col min="1" max="1" customWidth="1" width="12.269531" style="1"/>
    <col min="2" max="2" customWidth="1" width="18.179688" style="1"/>
    <col min="3" max="3" customWidth="1" width="17.0" style="1"/>
    <col min="4" max="5" customWidth="1" bestFit="1" width="13.7265625" style="1"/>
    <col min="6" max="6" customWidth="1" bestFit="1" width="18.453125" style="1"/>
    <col min="7" max="16384" customWidth="0" width="20.726562" style="1"/>
  </cols>
  <sheetData>
    <row r="1" spans="8:8" ht="46.5">
      <c r="A1" s="2" t="s">
        <v>30</v>
      </c>
      <c r="B1" s="3" t="s">
        <v>0</v>
      </c>
      <c r="C1" s="2" t="s">
        <v>1</v>
      </c>
      <c r="D1" s="2" t="s">
        <v>2</v>
      </c>
      <c r="E1" s="2" t="s">
        <v>3</v>
      </c>
      <c r="F1" s="4" t="s">
        <v>183</v>
      </c>
      <c r="G1" s="4" t="s">
        <v>184</v>
      </c>
      <c r="H1" s="4" t="s">
        <v>185</v>
      </c>
      <c r="I1" s="5" t="s">
        <v>186</v>
      </c>
    </row>
    <row r="2" spans="8:8">
      <c r="A2" s="6" t="s">
        <v>11</v>
      </c>
      <c r="B2" s="6" t="s">
        <v>77</v>
      </c>
      <c r="C2" s="6" t="s">
        <v>78</v>
      </c>
      <c r="D2" s="6" t="s">
        <v>97</v>
      </c>
      <c r="E2" s="7" t="s">
        <v>98</v>
      </c>
      <c r="F2" s="8">
        <v>90.0</v>
      </c>
      <c r="G2" s="10"/>
      <c r="H2" s="10"/>
      <c r="I2" s="10"/>
    </row>
    <row r="3" spans="8:8">
      <c r="A3" s="6" t="s">
        <v>11</v>
      </c>
      <c r="B3" s="6" t="s">
        <v>77</v>
      </c>
      <c r="C3" s="6" t="s">
        <v>78</v>
      </c>
      <c r="D3" s="6" t="s">
        <v>97</v>
      </c>
      <c r="E3" s="7" t="s">
        <v>99</v>
      </c>
      <c r="F3" s="8">
        <v>90.0</v>
      </c>
      <c r="G3" s="10"/>
      <c r="H3" s="10"/>
      <c r="I3" s="10"/>
    </row>
    <row r="4" spans="8:8">
      <c r="A4" s="6" t="s">
        <v>11</v>
      </c>
      <c r="B4" s="6" t="s">
        <v>77</v>
      </c>
      <c r="C4" s="6" t="s">
        <v>78</v>
      </c>
      <c r="D4" s="6" t="s">
        <v>97</v>
      </c>
      <c r="E4" s="7" t="s">
        <v>100</v>
      </c>
      <c r="F4" s="8">
        <v>90.0</v>
      </c>
      <c r="G4" s="10"/>
      <c r="H4" s="10"/>
      <c r="I4" s="10"/>
    </row>
    <row r="5" spans="8:8">
      <c r="A5" s="6" t="s">
        <v>11</v>
      </c>
      <c r="B5" s="6" t="s">
        <v>77</v>
      </c>
      <c r="C5" s="6" t="s">
        <v>78</v>
      </c>
      <c r="D5" s="6" t="s">
        <v>97</v>
      </c>
      <c r="E5" s="7" t="s">
        <v>101</v>
      </c>
      <c r="F5" s="8">
        <v>114.0</v>
      </c>
      <c r="G5" s="10"/>
      <c r="H5" s="10"/>
      <c r="I5" s="10"/>
    </row>
    <row r="6" spans="8:8" ht="13.15" customHeight="1"/>
    <row r="7"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8.xml><?xml version="1.0" encoding="utf-8"?>
<worksheet xmlns:r="http://schemas.openxmlformats.org/officeDocument/2006/relationships" xmlns="http://schemas.openxmlformats.org/spreadsheetml/2006/main">
  <dimension ref="A1:K8"/>
  <sheetViews>
    <sheetView workbookViewId="0" zoomScale="70">
      <selection activeCell="F1" sqref="F1:I1"/>
    </sheetView>
  </sheetViews>
  <sheetFormatPr defaultRowHeight="15.5" defaultColWidth="20"/>
  <cols>
    <col min="1" max="1" customWidth="1" width="12.269531" style="1"/>
    <col min="2" max="2" customWidth="1" width="18.179688" style="1"/>
    <col min="3" max="3" customWidth="1" width="17.0" style="1"/>
    <col min="4" max="4" customWidth="1" width="14.816406" style="1"/>
    <col min="5" max="5" customWidth="1" bestFit="1" width="19.726562" style="1"/>
    <col min="6" max="6" customWidth="1" width="19.453125" style="1"/>
    <col min="7" max="16384" customWidth="0" width="20.726562" style="1"/>
  </cols>
  <sheetData>
    <row r="1" spans="8:8" ht="46.5">
      <c r="A1" s="2" t="s">
        <v>30</v>
      </c>
      <c r="B1" s="3" t="s">
        <v>0</v>
      </c>
      <c r="C1" s="2" t="s">
        <v>1</v>
      </c>
      <c r="D1" s="2" t="s">
        <v>2</v>
      </c>
      <c r="E1" s="2" t="s">
        <v>3</v>
      </c>
      <c r="F1" s="4" t="s">
        <v>183</v>
      </c>
      <c r="G1" s="4" t="s">
        <v>184</v>
      </c>
      <c r="H1" s="4" t="s">
        <v>185</v>
      </c>
      <c r="I1" s="5" t="s">
        <v>186</v>
      </c>
    </row>
    <row r="2" spans="8:8">
      <c r="A2" s="6" t="s">
        <v>11</v>
      </c>
      <c r="B2" s="6" t="s">
        <v>128</v>
      </c>
      <c r="C2" s="6" t="s">
        <v>129</v>
      </c>
      <c r="D2" s="6" t="s">
        <v>130</v>
      </c>
      <c r="E2" s="7" t="s">
        <v>131</v>
      </c>
      <c r="F2" s="8">
        <v>90.0</v>
      </c>
      <c r="G2" s="10"/>
      <c r="H2" s="10"/>
      <c r="I2" s="10"/>
    </row>
    <row r="3" spans="8:8">
      <c r="A3" s="6" t="s">
        <v>11</v>
      </c>
      <c r="B3" s="6" t="s">
        <v>128</v>
      </c>
      <c r="C3" s="6" t="s">
        <v>129</v>
      </c>
      <c r="D3" s="6" t="s">
        <v>130</v>
      </c>
      <c r="E3" s="7" t="s">
        <v>132</v>
      </c>
      <c r="F3" s="8">
        <v>101.0</v>
      </c>
      <c r="G3" s="10"/>
      <c r="H3" s="10"/>
      <c r="I3" s="10"/>
    </row>
    <row r="4" spans="8:8">
      <c r="A4" s="6" t="s">
        <v>11</v>
      </c>
      <c r="B4" s="6" t="s">
        <v>128</v>
      </c>
      <c r="C4" s="6" t="s">
        <v>129</v>
      </c>
      <c r="D4" s="6" t="s">
        <v>130</v>
      </c>
      <c r="E4" s="7" t="s">
        <v>133</v>
      </c>
      <c r="F4" s="8">
        <v>66.0</v>
      </c>
      <c r="G4" s="10"/>
      <c r="H4" s="10"/>
      <c r="I4" s="10"/>
    </row>
    <row r="5" spans="8:8">
      <c r="A5" s="6" t="s">
        <v>11</v>
      </c>
      <c r="B5" s="6" t="s">
        <v>128</v>
      </c>
      <c r="C5" s="6" t="s">
        <v>129</v>
      </c>
      <c r="D5" s="6" t="s">
        <v>130</v>
      </c>
      <c r="E5" s="7" t="s">
        <v>134</v>
      </c>
      <c r="F5" s="8">
        <v>124.0</v>
      </c>
      <c r="G5" s="10"/>
      <c r="H5" s="10"/>
      <c r="I5" s="10"/>
    </row>
    <row r="6" spans="8:8">
      <c r="A6" s="6" t="s">
        <v>11</v>
      </c>
      <c r="B6" s="6" t="s">
        <v>128</v>
      </c>
      <c r="C6" s="6" t="s">
        <v>129</v>
      </c>
      <c r="D6" s="6" t="s">
        <v>130</v>
      </c>
      <c r="E6" s="7" t="s">
        <v>135</v>
      </c>
      <c r="F6" s="8">
        <v>114.0</v>
      </c>
      <c r="G6" s="10"/>
      <c r="H6" s="10"/>
      <c r="I6" s="10"/>
    </row>
    <row r="7" spans="8:8">
      <c r="A7" s="6" t="s">
        <v>11</v>
      </c>
      <c r="B7" s="6" t="s">
        <v>128</v>
      </c>
      <c r="C7" s="6" t="s">
        <v>129</v>
      </c>
      <c r="D7" s="6" t="s">
        <v>130</v>
      </c>
      <c r="E7" s="7" t="s">
        <v>136</v>
      </c>
      <c r="F7" s="8">
        <v>68.0</v>
      </c>
      <c r="G7" s="10"/>
      <c r="H7" s="10"/>
      <c r="I7" s="10"/>
    </row>
    <row r="8"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9.xml><?xml version="1.0" encoding="utf-8"?>
<worksheet xmlns:r="http://schemas.openxmlformats.org/officeDocument/2006/relationships" xmlns="http://schemas.openxmlformats.org/spreadsheetml/2006/main">
  <dimension ref="A1:K19"/>
  <sheetViews>
    <sheetView tabSelected="1" workbookViewId="0" topLeftCell="G1" zoomScale="115">
      <selection activeCell="H11" sqref="H11"/>
    </sheetView>
  </sheetViews>
  <sheetFormatPr defaultRowHeight="15.5" defaultColWidth="20"/>
  <cols>
    <col min="1" max="1" customWidth="1" width="12.269531" style="1"/>
    <col min="2" max="2" customWidth="1" width="18.179688" style="1"/>
    <col min="3" max="3" customWidth="1" width="17.0" style="1"/>
    <col min="4" max="4" customWidth="1" bestFit="1" width="17.816406" style="1"/>
    <col min="5" max="5" customWidth="1" bestFit="1" width="24.269531" style="1"/>
    <col min="6" max="6" customWidth="1" width="19.453125" style="1"/>
    <col min="7" max="16384" customWidth="0" width="20.726562" style="1"/>
  </cols>
  <sheetData>
    <row r="1" spans="8:8" ht="46.5">
      <c r="A1" s="2" t="s">
        <v>30</v>
      </c>
      <c r="B1" s="3" t="s">
        <v>0</v>
      </c>
      <c r="C1" s="2" t="s">
        <v>1</v>
      </c>
      <c r="D1" s="2" t="s">
        <v>2</v>
      </c>
      <c r="E1" s="2" t="s">
        <v>3</v>
      </c>
      <c r="F1" s="4" t="s">
        <v>183</v>
      </c>
      <c r="G1" s="4" t="s">
        <v>184</v>
      </c>
      <c r="H1" s="4" t="s">
        <v>185</v>
      </c>
      <c r="I1" s="5" t="s">
        <v>186</v>
      </c>
    </row>
    <row r="2" spans="8:8">
      <c r="A2" s="6" t="s">
        <v>11</v>
      </c>
      <c r="B2" s="6" t="s">
        <v>12</v>
      </c>
      <c r="C2" s="6" t="s">
        <v>22</v>
      </c>
      <c r="D2" s="6" t="s">
        <v>23</v>
      </c>
      <c r="E2" s="7" t="s">
        <v>24</v>
      </c>
      <c r="F2" s="8">
        <v>78.0</v>
      </c>
      <c r="G2" s="10"/>
      <c r="H2" s="10"/>
      <c r="I2" s="10"/>
    </row>
    <row r="3" spans="8:8">
      <c r="A3" s="6" t="s">
        <v>11</v>
      </c>
      <c r="B3" s="6" t="s">
        <v>12</v>
      </c>
      <c r="C3" s="6" t="s">
        <v>22</v>
      </c>
      <c r="D3" s="6" t="s">
        <v>23</v>
      </c>
      <c r="E3" s="7" t="s">
        <v>25</v>
      </c>
      <c r="F3" s="8">
        <v>50.0</v>
      </c>
      <c r="G3" s="10"/>
      <c r="H3" s="10"/>
      <c r="I3" s="10"/>
    </row>
    <row r="4" spans="8:8" ht="16.25">
      <c r="A4" s="6" t="s">
        <v>11</v>
      </c>
      <c r="B4" s="6" t="s">
        <v>12</v>
      </c>
      <c r="C4" s="6" t="s">
        <v>22</v>
      </c>
      <c r="D4" s="6" t="s">
        <v>23</v>
      </c>
      <c r="E4" s="7" t="s">
        <v>26</v>
      </c>
      <c r="F4" s="8">
        <v>74.0</v>
      </c>
      <c r="G4" s="10">
        <v>69.0</v>
      </c>
      <c r="H4" s="10">
        <v>0.0</v>
      </c>
      <c r="I4" s="10" t="s">
        <v>188</v>
      </c>
    </row>
    <row r="5" spans="8:8" ht="16.0">
      <c r="A5" s="6" t="s">
        <v>11</v>
      </c>
      <c r="B5" s="6" t="s">
        <v>12</v>
      </c>
      <c r="C5" s="6" t="s">
        <v>22</v>
      </c>
      <c r="D5" s="6" t="s">
        <v>23</v>
      </c>
      <c r="E5" s="7" t="s">
        <v>27</v>
      </c>
      <c r="F5" s="8">
        <v>72.0</v>
      </c>
      <c r="G5" s="10">
        <v>72.0</v>
      </c>
      <c r="H5" s="10">
        <v>0.0</v>
      </c>
      <c r="I5" s="10"/>
    </row>
    <row r="6" spans="8:8">
      <c r="A6" s="6" t="s">
        <v>11</v>
      </c>
      <c r="B6" s="6" t="s">
        <v>12</v>
      </c>
      <c r="C6" s="6" t="s">
        <v>22</v>
      </c>
      <c r="D6" s="6" t="s">
        <v>23</v>
      </c>
      <c r="E6" s="7" t="s">
        <v>28</v>
      </c>
      <c r="F6" s="8">
        <v>63.0</v>
      </c>
      <c r="G6" s="10"/>
      <c r="H6" s="10"/>
      <c r="I6" s="10"/>
    </row>
    <row r="7" spans="8:8" ht="16.25">
      <c r="A7" s="6" t="s">
        <v>11</v>
      </c>
      <c r="B7" s="6" t="s">
        <v>12</v>
      </c>
      <c r="C7" s="6" t="s">
        <v>22</v>
      </c>
      <c r="D7" s="6" t="s">
        <v>23</v>
      </c>
      <c r="E7" s="7" t="s">
        <v>31</v>
      </c>
      <c r="F7" s="8">
        <v>37.0</v>
      </c>
      <c r="G7" s="10">
        <v>7.0</v>
      </c>
      <c r="H7" s="10">
        <v>30.0</v>
      </c>
      <c r="I7" s="10"/>
    </row>
    <row r="8" spans="8:8">
      <c r="A8" s="6" t="s">
        <v>11</v>
      </c>
      <c r="B8" s="6" t="s">
        <v>12</v>
      </c>
      <c r="C8" s="6" t="s">
        <v>22</v>
      </c>
      <c r="D8" s="6" t="s">
        <v>23</v>
      </c>
      <c r="E8" s="7" t="s">
        <v>32</v>
      </c>
      <c r="F8" s="8">
        <v>26.0</v>
      </c>
      <c r="G8" s="10"/>
      <c r="H8" s="10"/>
      <c r="I8" s="10"/>
    </row>
    <row r="9" spans="8:8">
      <c r="A9" s="6" t="s">
        <v>11</v>
      </c>
      <c r="B9" s="6" t="s">
        <v>12</v>
      </c>
      <c r="C9" s="6" t="s">
        <v>22</v>
      </c>
      <c r="D9" s="6" t="s">
        <v>23</v>
      </c>
      <c r="E9" s="7" t="s">
        <v>33</v>
      </c>
      <c r="F9" s="8">
        <v>44.0</v>
      </c>
      <c r="G9" s="10"/>
      <c r="H9" s="10"/>
      <c r="I9" s="10"/>
    </row>
    <row r="10" spans="8:8" ht="16.25">
      <c r="A10" s="6" t="s">
        <v>11</v>
      </c>
      <c r="B10" s="6" t="s">
        <v>12</v>
      </c>
      <c r="C10" s="6" t="s">
        <v>22</v>
      </c>
      <c r="D10" s="6" t="s">
        <v>23</v>
      </c>
      <c r="E10" s="7" t="s">
        <v>34</v>
      </c>
      <c r="F10" s="8">
        <v>105.0</v>
      </c>
      <c r="G10" s="10">
        <v>105.0</v>
      </c>
      <c r="H10" s="10">
        <v>0.0</v>
      </c>
      <c r="I10" s="10"/>
    </row>
    <row r="11" spans="8:8" ht="16.0">
      <c r="A11" s="6" t="s">
        <v>11</v>
      </c>
      <c r="B11" s="6" t="s">
        <v>12</v>
      </c>
      <c r="C11" s="6" t="s">
        <v>22</v>
      </c>
      <c r="D11" s="6" t="s">
        <v>23</v>
      </c>
      <c r="E11" s="7" t="s">
        <v>35</v>
      </c>
      <c r="F11" s="8">
        <v>193.0</v>
      </c>
      <c r="G11" s="10">
        <v>171.0</v>
      </c>
      <c r="H11" s="10">
        <v>22.0</v>
      </c>
      <c r="I11" s="10" t="s">
        <v>189</v>
      </c>
    </row>
    <row r="12" spans="8:8">
      <c r="A12" s="6" t="s">
        <v>11</v>
      </c>
      <c r="B12" s="6" t="s">
        <v>12</v>
      </c>
      <c r="C12" s="6" t="s">
        <v>22</v>
      </c>
      <c r="D12" s="6" t="s">
        <v>23</v>
      </c>
      <c r="E12" s="7" t="s">
        <v>36</v>
      </c>
      <c r="F12" s="8">
        <v>32.0</v>
      </c>
      <c r="G12" s="10"/>
      <c r="H12" s="10"/>
      <c r="I12" s="10"/>
    </row>
    <row r="13" spans="8:8" ht="16.25">
      <c r="A13" s="6" t="s">
        <v>11</v>
      </c>
      <c r="B13" s="6" t="s">
        <v>12</v>
      </c>
      <c r="C13" s="6" t="s">
        <v>22</v>
      </c>
      <c r="D13" s="6" t="s">
        <v>23</v>
      </c>
      <c r="E13" s="7" t="s">
        <v>37</v>
      </c>
      <c r="F13" s="8">
        <v>51.0</v>
      </c>
      <c r="G13" s="10">
        <v>51.0</v>
      </c>
      <c r="H13" s="10"/>
      <c r="I13" s="10"/>
    </row>
    <row r="14" spans="8:8">
      <c r="A14" s="6" t="s">
        <v>11</v>
      </c>
      <c r="B14" s="6" t="s">
        <v>12</v>
      </c>
      <c r="C14" s="6" t="s">
        <v>22</v>
      </c>
      <c r="D14" s="6" t="s">
        <v>23</v>
      </c>
      <c r="E14" s="7" t="s">
        <v>38</v>
      </c>
      <c r="F14" s="8">
        <v>22.0</v>
      </c>
      <c r="G14" s="10"/>
      <c r="H14" s="10"/>
      <c r="I14" s="10"/>
    </row>
    <row r="15" spans="8:8" ht="16.25">
      <c r="A15" s="6" t="s">
        <v>11</v>
      </c>
      <c r="B15" s="6" t="s">
        <v>12</v>
      </c>
      <c r="C15" s="6" t="s">
        <v>22</v>
      </c>
      <c r="D15" s="6" t="s">
        <v>23</v>
      </c>
      <c r="E15" s="7" t="s">
        <v>39</v>
      </c>
      <c r="F15" s="8">
        <v>302.0</v>
      </c>
      <c r="G15" s="10">
        <v>297.0</v>
      </c>
      <c r="H15" s="10">
        <v>5.0</v>
      </c>
      <c r="I15" s="10"/>
    </row>
    <row r="16" spans="8:8">
      <c r="A16" s="6" t="s">
        <v>11</v>
      </c>
      <c r="B16" s="6" t="s">
        <v>12</v>
      </c>
      <c r="C16" s="6" t="s">
        <v>22</v>
      </c>
      <c r="D16" s="6" t="s">
        <v>23</v>
      </c>
      <c r="E16" s="7" t="s">
        <v>40</v>
      </c>
      <c r="F16" s="8">
        <v>96.0</v>
      </c>
      <c r="G16" s="10"/>
      <c r="H16" s="10"/>
      <c r="I16" s="10"/>
    </row>
    <row r="17" spans="8:8">
      <c r="A17" s="6" t="s">
        <v>11</v>
      </c>
      <c r="B17" s="6" t="s">
        <v>12</v>
      </c>
      <c r="C17" s="6" t="s">
        <v>22</v>
      </c>
      <c r="D17" s="6" t="s">
        <v>23</v>
      </c>
      <c r="E17" s="7" t="s">
        <v>41</v>
      </c>
      <c r="F17" s="8">
        <v>48.0</v>
      </c>
      <c r="G17" s="10"/>
      <c r="H17" s="10"/>
      <c r="I17" s="10"/>
    </row>
    <row r="18" spans="8:8" ht="13.15" customHeight="1"/>
    <row r="19"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10.xml><?xml version="1.0" encoding="utf-8"?>
<worksheet xmlns:r="http://schemas.openxmlformats.org/officeDocument/2006/relationships" xmlns="http://schemas.openxmlformats.org/spreadsheetml/2006/main">
  <dimension ref="A1:K21"/>
  <sheetViews>
    <sheetView workbookViewId="0" zoomScale="70">
      <selection activeCell="F1" sqref="F1:I1"/>
    </sheetView>
  </sheetViews>
  <sheetFormatPr defaultRowHeight="15.5" defaultColWidth="20"/>
  <cols>
    <col min="1" max="1" customWidth="1" width="12.269531" style="1"/>
    <col min="2" max="2" customWidth="1" width="18.179688" style="1"/>
    <col min="3" max="3" customWidth="1" bestFit="1" width="21.0" style="1"/>
    <col min="4" max="4" customWidth="1" bestFit="1" width="22.726562" style="1"/>
    <col min="5" max="5" customWidth="1" bestFit="1" width="25.453125" style="1"/>
    <col min="6" max="6" customWidth="1" width="19.453125" style="1"/>
    <col min="7" max="16384" customWidth="0" width="20.726562" style="1"/>
  </cols>
  <sheetData>
    <row r="1" spans="8:8" ht="46.5">
      <c r="A1" s="2" t="s">
        <v>30</v>
      </c>
      <c r="B1" s="3" t="s">
        <v>0</v>
      </c>
      <c r="C1" s="2" t="s">
        <v>1</v>
      </c>
      <c r="D1" s="2" t="s">
        <v>2</v>
      </c>
      <c r="E1" s="2" t="s">
        <v>3</v>
      </c>
      <c r="F1" s="4" t="s">
        <v>183</v>
      </c>
      <c r="G1" s="4" t="s">
        <v>184</v>
      </c>
      <c r="H1" s="4" t="s">
        <v>185</v>
      </c>
      <c r="I1" s="5" t="s">
        <v>186</v>
      </c>
    </row>
    <row r="2" spans="8:8">
      <c r="A2" s="6" t="s">
        <v>11</v>
      </c>
      <c r="B2" s="6" t="s">
        <v>54</v>
      </c>
      <c r="C2" s="6" t="s">
        <v>55</v>
      </c>
      <c r="D2" s="7" t="s">
        <v>56</v>
      </c>
      <c r="E2" s="7" t="s">
        <v>57</v>
      </c>
      <c r="F2" s="8">
        <v>29.0</v>
      </c>
      <c r="G2" s="10"/>
      <c r="H2" s="10"/>
      <c r="I2" s="10"/>
    </row>
    <row r="3" spans="8:8">
      <c r="A3" s="6" t="s">
        <v>11</v>
      </c>
      <c r="B3" s="6" t="s">
        <v>54</v>
      </c>
      <c r="C3" s="6" t="s">
        <v>55</v>
      </c>
      <c r="D3" s="7" t="s">
        <v>56</v>
      </c>
      <c r="E3" s="7" t="s">
        <v>59</v>
      </c>
      <c r="F3" s="8">
        <v>77.0</v>
      </c>
      <c r="G3" s="10"/>
      <c r="H3" s="10"/>
      <c r="I3" s="10"/>
    </row>
    <row r="4" spans="8:8">
      <c r="A4" s="6" t="s">
        <v>11</v>
      </c>
      <c r="B4" s="6" t="s">
        <v>54</v>
      </c>
      <c r="C4" s="6" t="s">
        <v>55</v>
      </c>
      <c r="D4" s="7" t="s">
        <v>56</v>
      </c>
      <c r="E4" s="7" t="s">
        <v>60</v>
      </c>
      <c r="F4" s="8">
        <v>80.0</v>
      </c>
      <c r="G4" s="10"/>
      <c r="H4" s="10"/>
      <c r="I4" s="10"/>
    </row>
    <row r="5" spans="8:8">
      <c r="A5" s="6" t="s">
        <v>11</v>
      </c>
      <c r="B5" s="6" t="s">
        <v>54</v>
      </c>
      <c r="C5" s="6" t="s">
        <v>55</v>
      </c>
      <c r="D5" s="7" t="s">
        <v>56</v>
      </c>
      <c r="E5" s="7" t="s">
        <v>61</v>
      </c>
      <c r="F5" s="8">
        <v>88.0</v>
      </c>
      <c r="G5" s="10"/>
      <c r="H5" s="10"/>
      <c r="I5" s="10"/>
    </row>
    <row r="6" spans="8:8">
      <c r="A6" s="6" t="s">
        <v>11</v>
      </c>
      <c r="B6" s="6" t="s">
        <v>54</v>
      </c>
      <c r="C6" s="6" t="s">
        <v>55</v>
      </c>
      <c r="D6" s="7" t="s">
        <v>56</v>
      </c>
      <c r="E6" s="7" t="s">
        <v>62</v>
      </c>
      <c r="F6" s="8">
        <v>126.0</v>
      </c>
      <c r="G6" s="10"/>
      <c r="H6" s="10"/>
      <c r="I6" s="10"/>
    </row>
    <row r="7" spans="8:8">
      <c r="A7" s="6" t="s">
        <v>11</v>
      </c>
      <c r="B7" s="6" t="s">
        <v>54</v>
      </c>
      <c r="C7" s="6" t="s">
        <v>55</v>
      </c>
      <c r="D7" s="7" t="s">
        <v>56</v>
      </c>
      <c r="E7" s="7" t="s">
        <v>63</v>
      </c>
      <c r="F7" s="8">
        <v>152.0</v>
      </c>
      <c r="G7" s="10"/>
      <c r="H7" s="10"/>
      <c r="I7" s="10"/>
    </row>
    <row r="8" spans="8:8">
      <c r="A8" s="6" t="s">
        <v>11</v>
      </c>
      <c r="B8" s="6" t="s">
        <v>54</v>
      </c>
      <c r="C8" s="6" t="s">
        <v>55</v>
      </c>
      <c r="D8" s="7" t="s">
        <v>56</v>
      </c>
      <c r="E8" s="7" t="s">
        <v>64</v>
      </c>
      <c r="F8" s="8">
        <v>60.0</v>
      </c>
      <c r="G8" s="10"/>
      <c r="H8" s="10"/>
      <c r="I8" s="10"/>
    </row>
    <row r="9" spans="8:8">
      <c r="A9" s="6" t="s">
        <v>11</v>
      </c>
      <c r="B9" s="6" t="s">
        <v>54</v>
      </c>
      <c r="C9" s="6" t="s">
        <v>55</v>
      </c>
      <c r="D9" s="7" t="s">
        <v>56</v>
      </c>
      <c r="E9" s="7" t="s">
        <v>65</v>
      </c>
      <c r="F9" s="8">
        <v>60.0</v>
      </c>
      <c r="G9" s="10"/>
      <c r="H9" s="10"/>
      <c r="I9" s="10"/>
    </row>
    <row r="10" spans="8:8">
      <c r="A10" s="6" t="s">
        <v>11</v>
      </c>
      <c r="B10" s="6" t="s">
        <v>54</v>
      </c>
      <c r="C10" s="6" t="s">
        <v>55</v>
      </c>
      <c r="D10" s="7" t="s">
        <v>56</v>
      </c>
      <c r="E10" s="7" t="s">
        <v>66</v>
      </c>
      <c r="F10" s="8">
        <v>83.0</v>
      </c>
      <c r="G10" s="10"/>
      <c r="H10" s="10"/>
      <c r="I10" s="10"/>
    </row>
    <row r="11" spans="8:8">
      <c r="A11" s="6" t="s">
        <v>11</v>
      </c>
      <c r="B11" s="6" t="s">
        <v>54</v>
      </c>
      <c r="C11" s="6" t="s">
        <v>55</v>
      </c>
      <c r="D11" s="7" t="s">
        <v>56</v>
      </c>
      <c r="E11" s="7" t="s">
        <v>67</v>
      </c>
      <c r="F11" s="8">
        <v>101.0</v>
      </c>
      <c r="G11" s="10"/>
      <c r="H11" s="10"/>
      <c r="I11" s="10"/>
    </row>
    <row r="12" spans="8:8">
      <c r="A12" s="6" t="s">
        <v>11</v>
      </c>
      <c r="B12" s="6" t="s">
        <v>54</v>
      </c>
      <c r="C12" s="6" t="s">
        <v>55</v>
      </c>
      <c r="D12" s="7" t="s">
        <v>56</v>
      </c>
      <c r="E12" s="7" t="s">
        <v>68</v>
      </c>
      <c r="F12" s="8">
        <v>81.0</v>
      </c>
      <c r="G12" s="10"/>
      <c r="H12" s="10"/>
      <c r="I12" s="10"/>
    </row>
    <row r="13" spans="8:8">
      <c r="A13" s="6" t="s">
        <v>11</v>
      </c>
      <c r="B13" s="6" t="s">
        <v>54</v>
      </c>
      <c r="C13" s="6" t="s">
        <v>55</v>
      </c>
      <c r="D13" s="7" t="s">
        <v>56</v>
      </c>
      <c r="E13" s="7" t="s">
        <v>69</v>
      </c>
      <c r="F13" s="8">
        <v>116.0</v>
      </c>
      <c r="G13" s="10"/>
      <c r="H13" s="10"/>
      <c r="I13" s="10"/>
    </row>
    <row r="14" spans="8:8">
      <c r="A14" s="6" t="s">
        <v>11</v>
      </c>
      <c r="B14" s="6" t="s">
        <v>54</v>
      </c>
      <c r="C14" s="6" t="s">
        <v>55</v>
      </c>
      <c r="D14" s="7" t="s">
        <v>56</v>
      </c>
      <c r="E14" s="7" t="s">
        <v>70</v>
      </c>
      <c r="F14" s="8">
        <v>111.0</v>
      </c>
      <c r="G14" s="10"/>
      <c r="H14" s="10"/>
      <c r="I14" s="10"/>
    </row>
    <row r="15" spans="8:8">
      <c r="A15" s="6" t="s">
        <v>11</v>
      </c>
      <c r="B15" s="6" t="s">
        <v>54</v>
      </c>
      <c r="C15" s="6" t="s">
        <v>55</v>
      </c>
      <c r="D15" s="7" t="s">
        <v>56</v>
      </c>
      <c r="E15" s="7" t="s">
        <v>71</v>
      </c>
      <c r="F15" s="8">
        <v>91.0</v>
      </c>
      <c r="G15" s="10"/>
      <c r="H15" s="10"/>
      <c r="I15" s="10"/>
    </row>
    <row r="16" spans="8:8">
      <c r="A16" s="6" t="s">
        <v>11</v>
      </c>
      <c r="B16" s="6" t="s">
        <v>54</v>
      </c>
      <c r="C16" s="6" t="s">
        <v>55</v>
      </c>
      <c r="D16" s="7" t="s">
        <v>56</v>
      </c>
      <c r="E16" s="7" t="s">
        <v>72</v>
      </c>
      <c r="F16" s="8">
        <v>71.0</v>
      </c>
      <c r="G16" s="10"/>
      <c r="H16" s="10"/>
      <c r="I16" s="10"/>
    </row>
    <row r="17" spans="8:8">
      <c r="A17" s="6" t="s">
        <v>11</v>
      </c>
      <c r="B17" s="6" t="s">
        <v>54</v>
      </c>
      <c r="C17" s="6" t="s">
        <v>55</v>
      </c>
      <c r="D17" s="7" t="s">
        <v>56</v>
      </c>
      <c r="E17" s="7" t="s">
        <v>73</v>
      </c>
      <c r="F17" s="8">
        <v>77.0</v>
      </c>
      <c r="G17" s="10"/>
      <c r="H17" s="10"/>
      <c r="I17" s="10"/>
    </row>
    <row r="18" spans="8:8">
      <c r="A18" s="6" t="s">
        <v>11</v>
      </c>
      <c r="B18" s="6" t="s">
        <v>54</v>
      </c>
      <c r="C18" s="6" t="s">
        <v>55</v>
      </c>
      <c r="D18" s="7" t="s">
        <v>56</v>
      </c>
      <c r="E18" s="7" t="s">
        <v>74</v>
      </c>
      <c r="F18" s="8">
        <v>116.0</v>
      </c>
      <c r="G18" s="10"/>
      <c r="H18" s="10"/>
      <c r="I18" s="10"/>
    </row>
    <row r="19" spans="8:8">
      <c r="A19" s="6" t="s">
        <v>11</v>
      </c>
      <c r="B19" s="6" t="s">
        <v>54</v>
      </c>
      <c r="C19" s="6" t="s">
        <v>55</v>
      </c>
      <c r="D19" s="7" t="s">
        <v>56</v>
      </c>
      <c r="E19" s="7" t="s">
        <v>75</v>
      </c>
      <c r="F19" s="8">
        <v>109.0</v>
      </c>
      <c r="G19" s="10"/>
      <c r="H19" s="10"/>
      <c r="I19" s="10"/>
    </row>
    <row r="20" spans="8:8">
      <c r="A20" s="6" t="s">
        <v>11</v>
      </c>
      <c r="B20" s="6" t="s">
        <v>54</v>
      </c>
      <c r="C20" s="6" t="s">
        <v>55</v>
      </c>
      <c r="D20" s="7" t="s">
        <v>56</v>
      </c>
      <c r="E20" s="7" t="s">
        <v>76</v>
      </c>
      <c r="F20" s="8">
        <v>56.0</v>
      </c>
      <c r="G20" s="10"/>
      <c r="H20" s="10"/>
      <c r="I20" s="10"/>
    </row>
    <row r="21"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11.xml><?xml version="1.0" encoding="utf-8"?>
<worksheet xmlns:r="http://schemas.openxmlformats.org/officeDocument/2006/relationships" xmlns="http://schemas.openxmlformats.org/spreadsheetml/2006/main">
  <dimension ref="A1:K10"/>
  <sheetViews>
    <sheetView workbookViewId="0" zoomScale="70">
      <selection activeCell="F1" sqref="F1:I1"/>
    </sheetView>
  </sheetViews>
  <sheetFormatPr defaultRowHeight="15.5" defaultColWidth="20"/>
  <cols>
    <col min="1" max="1" customWidth="1" width="12.269531" style="1"/>
    <col min="2" max="2" customWidth="1" width="18.179688" style="1"/>
    <col min="3" max="3" customWidth="1" width="17.0" style="1"/>
    <col min="4" max="4" customWidth="1" bestFit="1" width="17.816406" style="1"/>
    <col min="5" max="5" customWidth="1" bestFit="1" width="25.453125" style="1"/>
    <col min="6" max="6" customWidth="1" width="19.453125" style="1"/>
    <col min="7" max="16384" customWidth="0" width="20.726562" style="1"/>
  </cols>
  <sheetData>
    <row r="1" spans="8:8" ht="46.5">
      <c r="A1" s="2" t="s">
        <v>30</v>
      </c>
      <c r="B1" s="3" t="s">
        <v>0</v>
      </c>
      <c r="C1" s="2" t="s">
        <v>1</v>
      </c>
      <c r="D1" s="2" t="s">
        <v>2</v>
      </c>
      <c r="E1" s="2" t="s">
        <v>3</v>
      </c>
      <c r="F1" s="4" t="s">
        <v>183</v>
      </c>
      <c r="G1" s="4" t="s">
        <v>184</v>
      </c>
      <c r="H1" s="4" t="s">
        <v>185</v>
      </c>
      <c r="I1" s="5" t="s">
        <v>186</v>
      </c>
    </row>
    <row r="2" spans="8:8">
      <c r="A2" s="6" t="s">
        <v>11</v>
      </c>
      <c r="B2" s="6" t="s">
        <v>87</v>
      </c>
      <c r="C2" s="6" t="s">
        <v>88</v>
      </c>
      <c r="D2" s="6" t="s">
        <v>89</v>
      </c>
      <c r="E2" s="7" t="s">
        <v>90</v>
      </c>
      <c r="F2" s="8">
        <v>74.0</v>
      </c>
      <c r="G2" s="10"/>
      <c r="H2" s="10"/>
      <c r="I2" s="10"/>
    </row>
    <row r="3" spans="8:8">
      <c r="A3" s="6" t="s">
        <v>11</v>
      </c>
      <c r="B3" s="6" t="s">
        <v>87</v>
      </c>
      <c r="C3" s="6" t="s">
        <v>88</v>
      </c>
      <c r="D3" s="6" t="s">
        <v>89</v>
      </c>
      <c r="E3" s="7" t="s">
        <v>89</v>
      </c>
      <c r="F3" s="8">
        <v>90.0</v>
      </c>
      <c r="G3" s="10"/>
      <c r="H3" s="10"/>
      <c r="I3" s="10"/>
    </row>
    <row r="4" spans="8:8">
      <c r="A4" s="6" t="s">
        <v>11</v>
      </c>
      <c r="B4" s="6" t="s">
        <v>87</v>
      </c>
      <c r="C4" s="6" t="s">
        <v>88</v>
      </c>
      <c r="D4" s="6" t="s">
        <v>89</v>
      </c>
      <c r="E4" s="7" t="s">
        <v>91</v>
      </c>
      <c r="F4" s="8">
        <v>124.0</v>
      </c>
      <c r="G4" s="10"/>
      <c r="H4" s="10"/>
      <c r="I4" s="10"/>
    </row>
    <row r="5" spans="8:8">
      <c r="A5" s="6" t="s">
        <v>11</v>
      </c>
      <c r="B5" s="6" t="s">
        <v>87</v>
      </c>
      <c r="C5" s="6" t="s">
        <v>88</v>
      </c>
      <c r="D5" s="6" t="s">
        <v>89</v>
      </c>
      <c r="E5" s="7" t="s">
        <v>92</v>
      </c>
      <c r="F5" s="8">
        <v>156.0</v>
      </c>
      <c r="G5" s="10"/>
      <c r="H5" s="10"/>
      <c r="I5" s="10"/>
    </row>
    <row r="6" spans="8:8">
      <c r="A6" s="6" t="s">
        <v>11</v>
      </c>
      <c r="B6" s="6" t="s">
        <v>87</v>
      </c>
      <c r="C6" s="6" t="s">
        <v>88</v>
      </c>
      <c r="D6" s="6" t="s">
        <v>89</v>
      </c>
      <c r="E6" s="7" t="s">
        <v>93</v>
      </c>
      <c r="F6" s="8">
        <v>89.0</v>
      </c>
      <c r="G6" s="10"/>
      <c r="H6" s="10"/>
      <c r="I6" s="10"/>
    </row>
    <row r="7" spans="8:8">
      <c r="A7" s="6" t="s">
        <v>11</v>
      </c>
      <c r="B7" s="6" t="s">
        <v>87</v>
      </c>
      <c r="C7" s="6" t="s">
        <v>88</v>
      </c>
      <c r="D7" s="6" t="s">
        <v>89</v>
      </c>
      <c r="E7" s="7" t="s">
        <v>94</v>
      </c>
      <c r="F7" s="8">
        <v>87.0</v>
      </c>
      <c r="G7" s="10"/>
      <c r="H7" s="10"/>
      <c r="I7" s="10"/>
    </row>
    <row r="8" spans="8:8">
      <c r="A8" s="6" t="s">
        <v>11</v>
      </c>
      <c r="B8" s="6" t="s">
        <v>87</v>
      </c>
      <c r="C8" s="6" t="s">
        <v>88</v>
      </c>
      <c r="D8" s="6" t="s">
        <v>89</v>
      </c>
      <c r="E8" s="7" t="s">
        <v>95</v>
      </c>
      <c r="F8" s="8">
        <v>90.0</v>
      </c>
      <c r="G8" s="10"/>
      <c r="H8" s="10"/>
      <c r="I8" s="10"/>
    </row>
    <row r="9" spans="8:8">
      <c r="A9" s="6" t="s">
        <v>11</v>
      </c>
      <c r="B9" s="6" t="s">
        <v>87</v>
      </c>
      <c r="C9" s="6" t="s">
        <v>88</v>
      </c>
      <c r="D9" s="6" t="s">
        <v>89</v>
      </c>
      <c r="E9" s="7" t="s">
        <v>96</v>
      </c>
      <c r="F9" s="8">
        <v>10.0</v>
      </c>
      <c r="G9" s="10"/>
      <c r="H9" s="10"/>
      <c r="I9" s="10"/>
    </row>
    <row r="10"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12.xml><?xml version="1.0" encoding="utf-8"?>
<worksheet xmlns:r="http://schemas.openxmlformats.org/officeDocument/2006/relationships" xmlns="http://schemas.openxmlformats.org/spreadsheetml/2006/main">
  <dimension ref="A1:K15"/>
  <sheetViews>
    <sheetView workbookViewId="0" zoomScale="70">
      <selection activeCell="F1" sqref="F1:I1"/>
    </sheetView>
  </sheetViews>
  <sheetFormatPr defaultRowHeight="15.5" defaultColWidth="20"/>
  <cols>
    <col min="1" max="1" customWidth="1" width="12.269531" style="1"/>
    <col min="2" max="3" customWidth="1" width="18.179688" style="1"/>
    <col min="4" max="4" customWidth="1" width="17.179688" style="1"/>
    <col min="5" max="5" customWidth="1" width="19.816406" style="1"/>
    <col min="6" max="6" customWidth="1" width="19.453125" style="1"/>
    <col min="7" max="16384" customWidth="0" width="20.726562" style="1"/>
  </cols>
  <sheetData>
    <row r="1" spans="8:8" ht="84.0" customHeight="1">
      <c r="A1" s="2" t="s">
        <v>30</v>
      </c>
      <c r="B1" s="3" t="s">
        <v>0</v>
      </c>
      <c r="C1" s="2" t="s">
        <v>1</v>
      </c>
      <c r="D1" s="2" t="s">
        <v>2</v>
      </c>
      <c r="E1" s="2" t="s">
        <v>3</v>
      </c>
      <c r="F1" s="4" t="s">
        <v>183</v>
      </c>
      <c r="G1" s="4" t="s">
        <v>184</v>
      </c>
      <c r="H1" s="4" t="s">
        <v>185</v>
      </c>
      <c r="I1" s="5" t="s">
        <v>186</v>
      </c>
    </row>
    <row r="2" spans="8:8">
      <c r="A2" s="6" t="s">
        <v>11</v>
      </c>
      <c r="B2" s="6" t="s">
        <v>77</v>
      </c>
      <c r="C2" s="6" t="s">
        <v>109</v>
      </c>
      <c r="D2" s="6" t="s">
        <v>110</v>
      </c>
      <c r="E2" s="7" t="s">
        <v>111</v>
      </c>
      <c r="F2" s="8">
        <v>90.0</v>
      </c>
      <c r="G2" s="10"/>
      <c r="H2" s="10"/>
      <c r="I2" s="10"/>
    </row>
    <row r="3" spans="8:8" ht="16.5" customHeight="1">
      <c r="A3" s="6" t="s">
        <v>11</v>
      </c>
      <c r="B3" s="6" t="s">
        <v>77</v>
      </c>
      <c r="C3" s="6" t="s">
        <v>109</v>
      </c>
      <c r="D3" s="6" t="s">
        <v>110</v>
      </c>
      <c r="E3" s="7" t="s">
        <v>112</v>
      </c>
      <c r="F3" s="8">
        <v>106.0</v>
      </c>
      <c r="G3" s="10"/>
      <c r="H3" s="10"/>
      <c r="I3" s="10"/>
    </row>
    <row r="4" spans="8:8">
      <c r="A4" s="6" t="s">
        <v>11</v>
      </c>
      <c r="B4" s="6" t="s">
        <v>77</v>
      </c>
      <c r="C4" s="6" t="s">
        <v>109</v>
      </c>
      <c r="D4" s="6" t="s">
        <v>110</v>
      </c>
      <c r="E4" s="7" t="s">
        <v>113</v>
      </c>
      <c r="F4" s="8">
        <v>94.0</v>
      </c>
      <c r="G4" s="10"/>
      <c r="H4" s="10"/>
      <c r="I4" s="10"/>
    </row>
    <row r="5" spans="8:8" ht="16.5" customHeight="1">
      <c r="A5" s="6" t="s">
        <v>11</v>
      </c>
      <c r="B5" s="6" t="s">
        <v>77</v>
      </c>
      <c r="C5" s="6" t="s">
        <v>109</v>
      </c>
      <c r="D5" s="6" t="s">
        <v>110</v>
      </c>
      <c r="E5" s="7" t="s">
        <v>114</v>
      </c>
      <c r="F5" s="8">
        <v>90.0</v>
      </c>
      <c r="G5" s="10"/>
      <c r="H5" s="10"/>
      <c r="I5" s="10"/>
    </row>
    <row r="6" spans="8:8">
      <c r="A6" s="6" t="s">
        <v>11</v>
      </c>
      <c r="B6" s="6" t="s">
        <v>77</v>
      </c>
      <c r="C6" s="6" t="s">
        <v>109</v>
      </c>
      <c r="D6" s="6" t="s">
        <v>110</v>
      </c>
      <c r="E6" s="7" t="s">
        <v>115</v>
      </c>
      <c r="F6" s="8">
        <v>102.0</v>
      </c>
      <c r="G6" s="10"/>
      <c r="H6" s="10"/>
      <c r="I6" s="10"/>
    </row>
    <row r="7" spans="8:8">
      <c r="A7" s="6" t="s">
        <v>11</v>
      </c>
      <c r="B7" s="6" t="s">
        <v>77</v>
      </c>
      <c r="C7" s="6" t="s">
        <v>109</v>
      </c>
      <c r="D7" s="6" t="s">
        <v>110</v>
      </c>
      <c r="E7" s="7" t="s">
        <v>116</v>
      </c>
      <c r="F7" s="8">
        <v>90.0</v>
      </c>
      <c r="G7" s="10"/>
      <c r="H7" s="10"/>
      <c r="I7" s="10"/>
    </row>
    <row r="8" spans="8:8">
      <c r="A8" s="6" t="s">
        <v>11</v>
      </c>
      <c r="B8" s="6" t="s">
        <v>77</v>
      </c>
      <c r="C8" s="6" t="s">
        <v>109</v>
      </c>
      <c r="D8" s="6" t="s">
        <v>110</v>
      </c>
      <c r="E8" s="7" t="s">
        <v>117</v>
      </c>
      <c r="F8" s="8">
        <v>33.0</v>
      </c>
      <c r="G8" s="10"/>
      <c r="H8" s="10"/>
      <c r="I8" s="10"/>
    </row>
    <row r="9" spans="8:8">
      <c r="A9" s="6" t="s">
        <v>11</v>
      </c>
      <c r="B9" s="6" t="s">
        <v>77</v>
      </c>
      <c r="C9" s="6" t="s">
        <v>109</v>
      </c>
      <c r="D9" s="6" t="s">
        <v>110</v>
      </c>
      <c r="E9" s="7" t="s">
        <v>118</v>
      </c>
      <c r="F9" s="8">
        <v>107.0</v>
      </c>
      <c r="G9" s="10"/>
      <c r="H9" s="10"/>
      <c r="I9" s="10"/>
    </row>
    <row r="10" spans="8:8">
      <c r="A10" s="6" t="s">
        <v>11</v>
      </c>
      <c r="B10" s="6" t="s">
        <v>77</v>
      </c>
      <c r="C10" s="6" t="s">
        <v>109</v>
      </c>
      <c r="D10" s="6" t="s">
        <v>110</v>
      </c>
      <c r="E10" s="7" t="s">
        <v>119</v>
      </c>
      <c r="F10" s="8">
        <v>114.0</v>
      </c>
      <c r="G10" s="10"/>
      <c r="H10" s="10"/>
      <c r="I10" s="10"/>
    </row>
    <row r="11" spans="8:8">
      <c r="A11" s="6" t="s">
        <v>11</v>
      </c>
      <c r="B11" s="6" t="s">
        <v>77</v>
      </c>
      <c r="C11" s="6" t="s">
        <v>109</v>
      </c>
      <c r="D11" s="6" t="s">
        <v>110</v>
      </c>
      <c r="E11" s="7" t="s">
        <v>120</v>
      </c>
      <c r="F11" s="8">
        <v>90.0</v>
      </c>
      <c r="G11" s="10"/>
      <c r="H11" s="10"/>
      <c r="I11" s="10"/>
    </row>
    <row r="12" spans="8:8" ht="16.5" customHeight="1">
      <c r="A12" s="6" t="s">
        <v>11</v>
      </c>
      <c r="B12" s="6" t="s">
        <v>77</v>
      </c>
      <c r="C12" s="6" t="s">
        <v>109</v>
      </c>
      <c r="D12" s="6" t="s">
        <v>110</v>
      </c>
      <c r="E12" s="7" t="s">
        <v>121</v>
      </c>
      <c r="F12" s="8">
        <v>117.0</v>
      </c>
      <c r="G12" s="10"/>
      <c r="H12" s="10"/>
      <c r="I12" s="10"/>
    </row>
    <row r="13" spans="8:8">
      <c r="A13" s="6" t="s">
        <v>11</v>
      </c>
      <c r="B13" s="6" t="s">
        <v>77</v>
      </c>
      <c r="C13" s="6" t="s">
        <v>109</v>
      </c>
      <c r="D13" s="6" t="s">
        <v>110</v>
      </c>
      <c r="E13" s="7" t="s">
        <v>122</v>
      </c>
      <c r="F13" s="8">
        <v>80.0</v>
      </c>
      <c r="G13" s="10"/>
      <c r="H13" s="10"/>
      <c r="I13" s="10"/>
    </row>
    <row r="14" spans="8:8" ht="16.5" customHeight="1">
      <c r="A14" s="6" t="s">
        <v>11</v>
      </c>
      <c r="B14" s="6" t="s">
        <v>77</v>
      </c>
      <c r="C14" s="6" t="s">
        <v>109</v>
      </c>
      <c r="D14" s="6" t="s">
        <v>110</v>
      </c>
      <c r="E14" s="7" t="s">
        <v>123</v>
      </c>
      <c r="F14" s="8">
        <v>90.0</v>
      </c>
      <c r="G14" s="10"/>
      <c r="H14" s="10"/>
      <c r="I14" s="10"/>
    </row>
    <row r="15" spans="8:8" ht="13.15" customHeight="1"/>
  </sheetData>
  <printOptions horizontalCentered="1"/>
  <pageMargins left="0.7086614173228347" right="0.7086614173228347" top="0.7480314960629921" bottom="0.7480314960629921" header="0.31496062992125984" footer="0.31496062992125984"/>
  <pageSetup paperSize="9" scale="42" orientation="landscape"/>
</worksheet>
</file>

<file path=xl/worksheets/sheet13.xml><?xml version="1.0" encoding="utf-8"?>
<worksheet xmlns:r="http://schemas.openxmlformats.org/officeDocument/2006/relationships" xmlns="http://schemas.openxmlformats.org/spreadsheetml/2006/main">
  <dimension ref="A1:K3"/>
  <sheetViews>
    <sheetView workbookViewId="0" zoomScale="70">
      <selection activeCell="I20" sqref="I20"/>
    </sheetView>
  </sheetViews>
  <sheetFormatPr defaultRowHeight="15.5" defaultColWidth="20"/>
  <cols>
    <col min="1" max="1" customWidth="1" width="12.269531" style="1"/>
    <col min="2" max="2" customWidth="1" width="18.179688" style="1"/>
    <col min="3" max="3" customWidth="1" width="17.0" style="1"/>
    <col min="4" max="4" customWidth="1" bestFit="1" width="22.726562" style="1"/>
    <col min="5" max="5" customWidth="1" bestFit="1" width="25.453125" style="1"/>
    <col min="6" max="6" customWidth="1" width="19.453125" style="1"/>
    <col min="7" max="16384" customWidth="0" width="20.726562" style="1"/>
  </cols>
  <sheetData>
    <row r="1" spans="8:8" ht="84.0" customHeight="1">
      <c r="A1" s="2" t="s">
        <v>30</v>
      </c>
      <c r="B1" s="3" t="s">
        <v>0</v>
      </c>
      <c r="C1" s="2" t="s">
        <v>1</v>
      </c>
      <c r="D1" s="2" t="s">
        <v>2</v>
      </c>
      <c r="E1" s="2" t="s">
        <v>3</v>
      </c>
      <c r="F1" s="4" t="s">
        <v>183</v>
      </c>
      <c r="G1" s="4" t="s">
        <v>184</v>
      </c>
      <c r="H1" s="4" t="s">
        <v>185</v>
      </c>
      <c r="I1" s="5" t="s">
        <v>186</v>
      </c>
    </row>
    <row r="2" spans="8:8" ht="34.9" customHeight="1">
      <c r="A2" s="6" t="s">
        <v>11</v>
      </c>
      <c r="B2" s="6" t="s">
        <v>77</v>
      </c>
      <c r="C2" s="6" t="s">
        <v>124</v>
      </c>
      <c r="D2" s="12" t="s">
        <v>125</v>
      </c>
      <c r="E2" s="7" t="s">
        <v>126</v>
      </c>
      <c r="F2" s="8">
        <v>102.0</v>
      </c>
      <c r="G2" s="10"/>
      <c r="H2" s="10"/>
      <c r="I2" s="10"/>
    </row>
    <row r="3" spans="8:8" ht="34.9" customHeight="1">
      <c r="A3" s="6" t="s">
        <v>11</v>
      </c>
      <c r="B3" s="6" t="s">
        <v>77</v>
      </c>
      <c r="C3" s="6" t="s">
        <v>124</v>
      </c>
      <c r="D3" s="12" t="s">
        <v>125</v>
      </c>
      <c r="E3" s="7" t="s">
        <v>127</v>
      </c>
      <c r="F3" s="8">
        <v>105.0</v>
      </c>
      <c r="G3" s="10"/>
      <c r="H3" s="10"/>
      <c r="I3" s="10"/>
    </row>
  </sheetData>
  <autoFilter ref="A1:F3">
    <filterColumn colId="0" showButton="1"/>
  </autoFilter>
  <printOptions horizontalCentered="1"/>
  <pageMargins left="0.7086614173228347" right="0.7086614173228347" top="0.7480314960629921" bottom="0.7480314960629921" header="0.31496062992125984" footer="0.31496062992125984"/>
  <pageSetup paperSize="9" scale="42" orientation="landscape"/>
</worksheet>
</file>

<file path=xl/worksheets/sheet14.xml><?xml version="1.0" encoding="utf-8"?>
<worksheet xmlns:r="http://schemas.openxmlformats.org/officeDocument/2006/relationships" xmlns="http://schemas.openxmlformats.org/spreadsheetml/2006/main">
  <dimension ref="A1:O14"/>
  <sheetViews>
    <sheetView workbookViewId="0" topLeftCell="D1">
      <selection activeCell="A1" sqref="A1:M13"/>
    </sheetView>
  </sheetViews>
  <sheetFormatPr defaultRowHeight="20.5" customHeight="1" defaultColWidth="10"/>
  <cols>
    <col min="3" max="4" customWidth="1" width="16.269531" style="0"/>
    <col min="5" max="5" customWidth="1" width="11.542969" style="0"/>
    <col min="6" max="6" customWidth="1" width="24.0" style="0"/>
    <col min="7" max="7" customWidth="1" width="11.542969" style="0"/>
    <col min="12" max="12" customWidth="1" width="11.542969" style="0"/>
    <col min="13" max="13" customWidth="1" width="29.726562" style="0"/>
  </cols>
  <sheetData>
    <row r="1" spans="8:8" ht="78.0">
      <c r="A1" s="13" t="s">
        <v>29</v>
      </c>
      <c r="B1" s="14" t="s">
        <v>30</v>
      </c>
      <c r="C1" s="15" t="s">
        <v>0</v>
      </c>
      <c r="D1" s="14" t="s">
        <v>1</v>
      </c>
      <c r="E1" s="14" t="s">
        <v>2</v>
      </c>
      <c r="F1" s="14" t="s">
        <v>3</v>
      </c>
      <c r="G1" s="16" t="s">
        <v>4</v>
      </c>
      <c r="H1" s="17" t="s">
        <v>5</v>
      </c>
      <c r="I1" s="18" t="s">
        <v>6</v>
      </c>
      <c r="J1" s="19" t="s">
        <v>7</v>
      </c>
      <c r="K1" s="20" t="s">
        <v>8</v>
      </c>
      <c r="L1" s="17" t="s">
        <v>9</v>
      </c>
      <c r="M1" s="21" t="s">
        <v>10</v>
      </c>
    </row>
    <row r="2" spans="8:8" ht="20.5" customHeight="1">
      <c r="A2" s="22">
        <v>1.0</v>
      </c>
      <c r="B2" s="23" t="s">
        <v>11</v>
      </c>
      <c r="C2" s="23" t="s">
        <v>12</v>
      </c>
      <c r="D2" s="23" t="s">
        <v>13</v>
      </c>
      <c r="E2" s="23" t="s">
        <v>14</v>
      </c>
      <c r="F2" s="24" t="s">
        <v>15</v>
      </c>
      <c r="G2" s="25">
        <v>143.0</v>
      </c>
      <c r="H2" s="25">
        <v>90.0</v>
      </c>
      <c r="I2" s="25">
        <v>90.0</v>
      </c>
      <c r="J2" s="25">
        <f>I2-H2</f>
        <v>0.0</v>
      </c>
      <c r="K2" s="25">
        <v>0.0</v>
      </c>
      <c r="L2" s="25">
        <f>G2-I2-K2</f>
        <v>53.0</v>
      </c>
      <c r="M2" s="25"/>
    </row>
    <row r="3" spans="8:8" ht="20.5" customHeight="1">
      <c r="A3" s="22"/>
      <c r="B3" s="26" t="s">
        <v>11</v>
      </c>
      <c r="C3" s="26" t="s">
        <v>12</v>
      </c>
      <c r="D3" s="26" t="s">
        <v>13</v>
      </c>
      <c r="E3" s="26" t="s">
        <v>14</v>
      </c>
      <c r="F3" s="27" t="s">
        <v>16</v>
      </c>
      <c r="G3" s="25">
        <v>286.0</v>
      </c>
      <c r="H3" s="25">
        <v>90.0</v>
      </c>
      <c r="I3" s="25">
        <v>90.0</v>
      </c>
      <c r="J3" s="25">
        <f t="shared" si="0" ref="J3:J13">I3-H3</f>
        <v>0.0</v>
      </c>
      <c r="K3" s="25">
        <v>2.0</v>
      </c>
      <c r="L3" s="25">
        <f t="shared" si="1" ref="L3:L13">G3-I3-K3</f>
        <v>194.0</v>
      </c>
      <c r="M3" s="25"/>
    </row>
    <row r="4" spans="8:8" ht="20.5" customHeight="1">
      <c r="A4" s="22"/>
      <c r="B4" s="26" t="s">
        <v>11</v>
      </c>
      <c r="C4" s="26" t="s">
        <v>12</v>
      </c>
      <c r="D4" s="26" t="s">
        <v>13</v>
      </c>
      <c r="E4" s="26" t="s">
        <v>14</v>
      </c>
      <c r="F4" s="27" t="s">
        <v>17</v>
      </c>
      <c r="G4" s="25">
        <v>64.0</v>
      </c>
      <c r="H4" s="25">
        <v>90.0</v>
      </c>
      <c r="I4" s="25">
        <v>64.0</v>
      </c>
      <c r="J4" s="25">
        <f t="shared" si="0"/>
        <v>-26.0</v>
      </c>
      <c r="K4" s="25">
        <v>0.0</v>
      </c>
      <c r="L4" s="25">
        <f t="shared" si="1"/>
        <v>0.0</v>
      </c>
      <c r="M4" s="25" t="s">
        <v>152</v>
      </c>
    </row>
    <row r="5" spans="8:8" ht="20.5" customHeight="1">
      <c r="A5" s="22"/>
      <c r="B5" s="26" t="s">
        <v>11</v>
      </c>
      <c r="C5" s="26" t="s">
        <v>12</v>
      </c>
      <c r="D5" s="26" t="s">
        <v>13</v>
      </c>
      <c r="E5" s="26" t="s">
        <v>14</v>
      </c>
      <c r="F5" s="27" t="s">
        <v>18</v>
      </c>
      <c r="G5" s="25">
        <v>180.0</v>
      </c>
      <c r="H5" s="25">
        <v>90.0</v>
      </c>
      <c r="I5" s="25">
        <v>90.0</v>
      </c>
      <c r="J5" s="25">
        <f t="shared" si="0"/>
        <v>0.0</v>
      </c>
      <c r="K5" s="25">
        <v>0.0</v>
      </c>
      <c r="L5" s="25">
        <f t="shared" si="1"/>
        <v>90.0</v>
      </c>
      <c r="M5" s="25"/>
    </row>
    <row r="6" spans="8:8" ht="20.5" customHeight="1">
      <c r="A6" s="22"/>
      <c r="B6" s="26" t="s">
        <v>11</v>
      </c>
      <c r="C6" s="26" t="s">
        <v>12</v>
      </c>
      <c r="D6" s="26" t="s">
        <v>13</v>
      </c>
      <c r="E6" s="26" t="s">
        <v>14</v>
      </c>
      <c r="F6" s="27" t="s">
        <v>19</v>
      </c>
      <c r="G6" s="25">
        <v>18.0</v>
      </c>
      <c r="H6" s="25">
        <v>90.0</v>
      </c>
      <c r="I6" s="25">
        <v>18.0</v>
      </c>
      <c r="J6" s="25">
        <f t="shared" si="0"/>
        <v>-72.0</v>
      </c>
      <c r="K6" s="25">
        <v>0.0</v>
      </c>
      <c r="L6" s="25">
        <f t="shared" si="1"/>
        <v>0.0</v>
      </c>
      <c r="M6" s="25" t="s">
        <v>163</v>
      </c>
    </row>
    <row r="7" spans="8:8" ht="20.5" customHeight="1">
      <c r="A7" s="22"/>
      <c r="B7" s="26" t="s">
        <v>11</v>
      </c>
      <c r="C7" s="26" t="s">
        <v>12</v>
      </c>
      <c r="D7" s="26" t="s">
        <v>13</v>
      </c>
      <c r="E7" s="26" t="s">
        <v>14</v>
      </c>
      <c r="F7" s="27" t="s">
        <v>20</v>
      </c>
      <c r="G7" s="25">
        <v>37.0</v>
      </c>
      <c r="H7" s="25">
        <v>90.0</v>
      </c>
      <c r="I7" s="25">
        <v>37.0</v>
      </c>
      <c r="J7" s="25">
        <f t="shared" si="0"/>
        <v>-53.0</v>
      </c>
      <c r="K7" s="25">
        <v>0.0</v>
      </c>
      <c r="L7" s="25">
        <f t="shared" si="1"/>
        <v>0.0</v>
      </c>
      <c r="M7" s="25"/>
    </row>
    <row r="8" spans="8:8" ht="20.5" customHeight="1">
      <c r="A8" s="22"/>
      <c r="B8" s="26" t="s">
        <v>11</v>
      </c>
      <c r="C8" s="26" t="s">
        <v>12</v>
      </c>
      <c r="D8" s="26" t="s">
        <v>13</v>
      </c>
      <c r="E8" s="26" t="s">
        <v>14</v>
      </c>
      <c r="F8" s="27" t="s">
        <v>21</v>
      </c>
      <c r="G8" s="25">
        <v>207.0</v>
      </c>
      <c r="H8" s="25">
        <v>90.0</v>
      </c>
      <c r="I8" s="25">
        <v>90.0</v>
      </c>
      <c r="J8" s="25">
        <f t="shared" si="0"/>
        <v>0.0</v>
      </c>
      <c r="K8" s="25">
        <v>4.0</v>
      </c>
      <c r="L8" s="25">
        <f t="shared" si="1"/>
        <v>113.0</v>
      </c>
      <c r="M8" s="25" t="s">
        <v>178</v>
      </c>
    </row>
    <row r="9" spans="8:8" ht="20.5" customHeight="1">
      <c r="A9" s="22"/>
      <c r="B9" s="26" t="s">
        <v>11</v>
      </c>
      <c r="C9" s="26" t="s">
        <v>12</v>
      </c>
      <c r="D9" s="26" t="s">
        <v>22</v>
      </c>
      <c r="E9" s="26" t="s">
        <v>23</v>
      </c>
      <c r="F9" s="27" t="s">
        <v>24</v>
      </c>
      <c r="G9" s="25">
        <v>83.0</v>
      </c>
      <c r="H9" s="25">
        <v>90.0</v>
      </c>
      <c r="I9" s="25">
        <v>78.0</v>
      </c>
      <c r="J9" s="25">
        <f t="shared" si="0"/>
        <v>-12.0</v>
      </c>
      <c r="K9" s="25">
        <v>5.0</v>
      </c>
      <c r="L9" s="25">
        <f t="shared" si="1"/>
        <v>0.0</v>
      </c>
      <c r="M9" s="25"/>
    </row>
    <row r="10" spans="8:8" ht="20.5" customHeight="1">
      <c r="A10" s="22"/>
      <c r="B10" s="26" t="s">
        <v>11</v>
      </c>
      <c r="C10" s="26" t="s">
        <v>12</v>
      </c>
      <c r="D10" s="26" t="s">
        <v>22</v>
      </c>
      <c r="E10" s="26" t="s">
        <v>23</v>
      </c>
      <c r="F10" s="27" t="s">
        <v>25</v>
      </c>
      <c r="G10" s="25">
        <v>50.0</v>
      </c>
      <c r="H10" s="25">
        <v>90.0</v>
      </c>
      <c r="I10" s="25">
        <v>50.0</v>
      </c>
      <c r="J10" s="25">
        <f t="shared" si="0"/>
        <v>-40.0</v>
      </c>
      <c r="K10" s="25">
        <v>0.0</v>
      </c>
      <c r="L10" s="25">
        <f t="shared" si="1"/>
        <v>0.0</v>
      </c>
      <c r="M10" s="25"/>
    </row>
    <row r="11" spans="8:8" ht="20.5" customHeight="1">
      <c r="A11" s="22"/>
      <c r="B11" s="26" t="s">
        <v>11</v>
      </c>
      <c r="C11" s="26" t="s">
        <v>12</v>
      </c>
      <c r="D11" s="26" t="s">
        <v>22</v>
      </c>
      <c r="E11" s="26" t="s">
        <v>23</v>
      </c>
      <c r="F11" s="27" t="s">
        <v>26</v>
      </c>
      <c r="G11" s="25">
        <v>74.0</v>
      </c>
      <c r="H11" s="25">
        <v>90.0</v>
      </c>
      <c r="I11" s="25">
        <v>74.0</v>
      </c>
      <c r="J11" s="25">
        <f t="shared" si="0"/>
        <v>-16.0</v>
      </c>
      <c r="K11" s="25">
        <v>0.0</v>
      </c>
      <c r="L11" s="25">
        <f t="shared" si="1"/>
        <v>0.0</v>
      </c>
      <c r="M11" s="25"/>
    </row>
    <row r="12" spans="8:8" ht="20.5" customHeight="1">
      <c r="A12" s="22"/>
      <c r="B12" s="26" t="s">
        <v>11</v>
      </c>
      <c r="C12" s="26" t="s">
        <v>12</v>
      </c>
      <c r="D12" s="26" t="s">
        <v>22</v>
      </c>
      <c r="E12" s="26" t="s">
        <v>23</v>
      </c>
      <c r="F12" s="27" t="s">
        <v>27</v>
      </c>
      <c r="G12" s="25">
        <v>72.0</v>
      </c>
      <c r="H12" s="25">
        <v>90.0</v>
      </c>
      <c r="I12" s="25">
        <v>72.0</v>
      </c>
      <c r="J12" s="25">
        <f t="shared" si="0"/>
        <v>-18.0</v>
      </c>
      <c r="K12" s="25">
        <v>0.0</v>
      </c>
      <c r="L12" s="25">
        <f t="shared" si="1"/>
        <v>0.0</v>
      </c>
      <c r="M12" s="25"/>
    </row>
    <row r="13" spans="8:8" ht="20.5" customHeight="1">
      <c r="A13" s="28"/>
      <c r="B13" s="29" t="s">
        <v>11</v>
      </c>
      <c r="C13" s="29" t="s">
        <v>12</v>
      </c>
      <c r="D13" s="29" t="s">
        <v>22</v>
      </c>
      <c r="E13" s="29" t="s">
        <v>23</v>
      </c>
      <c r="F13" s="30" t="s">
        <v>28</v>
      </c>
      <c r="G13" s="25">
        <v>63.0</v>
      </c>
      <c r="H13" s="25">
        <v>90.0</v>
      </c>
      <c r="I13" s="25">
        <v>63.0</v>
      </c>
      <c r="J13" s="25">
        <f t="shared" si="0"/>
        <v>-27.0</v>
      </c>
      <c r="K13" s="25">
        <v>0.0</v>
      </c>
      <c r="L13" s="25">
        <f t="shared" si="1"/>
        <v>0.0</v>
      </c>
      <c r="M13" s="25" t="s">
        <v>175</v>
      </c>
    </row>
    <row r="14" spans="8:8" ht="20.5" customHeight="1">
      <c r="A14" s="31" t="s">
        <v>150</v>
      </c>
      <c r="B14" s="32"/>
      <c r="C14" s="32"/>
      <c r="D14" s="32"/>
      <c r="E14" s="32"/>
      <c r="F14" s="33"/>
      <c r="G14" s="25">
        <f>SUM(G2:G13)</f>
        <v>1277.0</v>
      </c>
      <c r="H14" s="25">
        <f t="shared" si="2" ref="H14:L14">SUM(H2:H13)</f>
        <v>1080.0</v>
      </c>
      <c r="I14" s="25">
        <f t="shared" si="2"/>
        <v>816.0</v>
      </c>
      <c r="J14" s="25">
        <f t="shared" si="2"/>
        <v>-264.0</v>
      </c>
      <c r="K14" s="25">
        <f t="shared" si="2"/>
        <v>11.0</v>
      </c>
      <c r="L14" s="25">
        <f t="shared" si="2"/>
        <v>450.0</v>
      </c>
      <c r="M14" s="25">
        <f>SUM(M2:M13)</f>
        <v>0.0</v>
      </c>
    </row>
  </sheetData>
  <mergeCells count="2">
    <mergeCell ref="A2:A13"/>
    <mergeCell ref="A14:F14"/>
  </mergeCells>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O13"/>
  <sheetViews>
    <sheetView workbookViewId="0">
      <pane xSplit="1" ySplit="1" topLeftCell="B2" state="frozen" activePane="bottomRight"/>
      <selection pane="bottomRight" activeCell="H13" sqref="H13"/>
    </sheetView>
  </sheetViews>
  <sheetFormatPr defaultRowHeight="14.5" defaultColWidth="10"/>
  <cols>
    <col min="3" max="3" customWidth="1" width="17.816406" style="0"/>
    <col min="4" max="4" customWidth="1" width="20.179688" style="0"/>
    <col min="5" max="5" customWidth="1" width="16.269531" style="0"/>
    <col min="6" max="6" customWidth="1" width="23.816406" style="0"/>
    <col min="13" max="13" customWidth="1" width="26.269531" style="0"/>
  </cols>
  <sheetData>
    <row r="1" spans="8:8" ht="77.5">
      <c r="A1" s="34" t="s">
        <v>29</v>
      </c>
      <c r="B1" s="34" t="s">
        <v>30</v>
      </c>
      <c r="C1" s="35" t="s">
        <v>0</v>
      </c>
      <c r="D1" s="34" t="s">
        <v>1</v>
      </c>
      <c r="E1" s="34" t="s">
        <v>2</v>
      </c>
      <c r="F1" s="34" t="s">
        <v>3</v>
      </c>
      <c r="G1" s="35" t="s">
        <v>4</v>
      </c>
      <c r="H1" s="36" t="s">
        <v>5</v>
      </c>
      <c r="I1" s="36" t="s">
        <v>6</v>
      </c>
      <c r="J1" s="37" t="s">
        <v>7</v>
      </c>
      <c r="K1" s="36" t="s">
        <v>8</v>
      </c>
      <c r="L1" s="36" t="s">
        <v>9</v>
      </c>
      <c r="M1" s="38" t="s">
        <v>10</v>
      </c>
    </row>
    <row r="2" spans="8:8" ht="42.65" customHeight="1">
      <c r="A2" s="39">
        <v>2.0</v>
      </c>
      <c r="B2" s="40" t="s">
        <v>11</v>
      </c>
      <c r="C2" s="40" t="s">
        <v>12</v>
      </c>
      <c r="D2" s="40" t="s">
        <v>22</v>
      </c>
      <c r="E2" s="40" t="s">
        <v>23</v>
      </c>
      <c r="F2" s="41" t="s">
        <v>31</v>
      </c>
      <c r="G2" s="25">
        <v>37.0</v>
      </c>
      <c r="H2" s="25">
        <v>90.0</v>
      </c>
      <c r="I2" s="25">
        <v>37.0</v>
      </c>
      <c r="J2" s="25">
        <f>I2-H2</f>
        <v>-53.0</v>
      </c>
      <c r="K2" s="25">
        <v>0.0</v>
      </c>
      <c r="L2" s="25">
        <f>G2-I2-K2</f>
        <v>0.0</v>
      </c>
      <c r="M2" s="25" t="s">
        <v>169</v>
      </c>
    </row>
    <row r="3" spans="8:8" ht="17.0">
      <c r="A3" s="39"/>
      <c r="B3" s="40" t="s">
        <v>11</v>
      </c>
      <c r="C3" s="40" t="s">
        <v>12</v>
      </c>
      <c r="D3" s="40" t="s">
        <v>22</v>
      </c>
      <c r="E3" s="40" t="s">
        <v>23</v>
      </c>
      <c r="F3" s="41" t="s">
        <v>32</v>
      </c>
      <c r="G3" s="25">
        <v>27.0</v>
      </c>
      <c r="H3" s="25">
        <v>90.0</v>
      </c>
      <c r="I3" s="25">
        <v>26.0</v>
      </c>
      <c r="J3" s="25">
        <f t="shared" si="0" ref="J3:J12">I3-H3</f>
        <v>-64.0</v>
      </c>
      <c r="K3" s="25">
        <v>1.0</v>
      </c>
      <c r="L3" s="25">
        <f t="shared" si="1" ref="L3:L12">G3-I3-K3</f>
        <v>0.0</v>
      </c>
      <c r="M3" s="25" t="s">
        <v>154</v>
      </c>
    </row>
    <row r="4" spans="8:8" ht="17.0">
      <c r="A4" s="39"/>
      <c r="B4" s="40" t="s">
        <v>11</v>
      </c>
      <c r="C4" s="40" t="s">
        <v>12</v>
      </c>
      <c r="D4" s="40" t="s">
        <v>22</v>
      </c>
      <c r="E4" s="40" t="s">
        <v>23</v>
      </c>
      <c r="F4" s="41" t="s">
        <v>33</v>
      </c>
      <c r="G4" s="25">
        <v>44.0</v>
      </c>
      <c r="H4" s="25">
        <v>90.0</v>
      </c>
      <c r="I4" s="25">
        <v>44.0</v>
      </c>
      <c r="J4" s="25">
        <f t="shared" si="0"/>
        <v>-46.0</v>
      </c>
      <c r="K4" s="25">
        <v>0.0</v>
      </c>
      <c r="L4" s="25">
        <f t="shared" si="1"/>
        <v>0.0</v>
      </c>
      <c r="M4" s="25"/>
    </row>
    <row r="5" spans="8:8" ht="46.15" customHeight="1">
      <c r="A5" s="39"/>
      <c r="B5" s="40" t="s">
        <v>11</v>
      </c>
      <c r="C5" s="40" t="s">
        <v>12</v>
      </c>
      <c r="D5" s="40" t="s">
        <v>22</v>
      </c>
      <c r="E5" s="40" t="s">
        <v>23</v>
      </c>
      <c r="F5" s="41" t="s">
        <v>34</v>
      </c>
      <c r="G5" s="25">
        <v>111.0</v>
      </c>
      <c r="H5" s="25">
        <v>90.0</v>
      </c>
      <c r="I5" s="25">
        <v>90.0</v>
      </c>
      <c r="J5" s="25">
        <f t="shared" si="0"/>
        <v>0.0</v>
      </c>
      <c r="K5" s="25">
        <v>1.0</v>
      </c>
      <c r="L5" s="25">
        <f t="shared" si="1"/>
        <v>20.0</v>
      </c>
      <c r="M5" s="25" t="s">
        <v>182</v>
      </c>
    </row>
    <row r="6" spans="8:8" ht="67.9" customHeight="1">
      <c r="A6" s="39"/>
      <c r="B6" s="40" t="s">
        <v>11</v>
      </c>
      <c r="C6" s="40" t="s">
        <v>12</v>
      </c>
      <c r="D6" s="40" t="s">
        <v>22</v>
      </c>
      <c r="E6" s="40" t="s">
        <v>23</v>
      </c>
      <c r="F6" s="41" t="s">
        <v>35</v>
      </c>
      <c r="G6" s="25">
        <v>194.0</v>
      </c>
      <c r="H6" s="25">
        <v>90.0</v>
      </c>
      <c r="I6" s="25">
        <v>90.0</v>
      </c>
      <c r="J6" s="25">
        <f t="shared" si="0"/>
        <v>0.0</v>
      </c>
      <c r="K6" s="25">
        <v>1.0</v>
      </c>
      <c r="L6" s="25">
        <f t="shared" si="1"/>
        <v>103.0</v>
      </c>
      <c r="M6" s="25" t="s">
        <v>171</v>
      </c>
    </row>
    <row r="7" spans="8:8" ht="34.0">
      <c r="A7" s="39"/>
      <c r="B7" s="40" t="s">
        <v>11</v>
      </c>
      <c r="C7" s="40" t="s">
        <v>12</v>
      </c>
      <c r="D7" s="40" t="s">
        <v>22</v>
      </c>
      <c r="E7" s="40" t="s">
        <v>23</v>
      </c>
      <c r="F7" s="41" t="s">
        <v>36</v>
      </c>
      <c r="G7" s="25">
        <v>33.0</v>
      </c>
      <c r="H7" s="25">
        <v>90.0</v>
      </c>
      <c r="I7" s="25">
        <v>32.0</v>
      </c>
      <c r="J7" s="25">
        <f t="shared" si="0"/>
        <v>-58.0</v>
      </c>
      <c r="K7" s="25">
        <v>1.0</v>
      </c>
      <c r="L7" s="25">
        <f t="shared" si="1"/>
        <v>0.0</v>
      </c>
      <c r="M7" s="25" t="s">
        <v>155</v>
      </c>
    </row>
    <row r="8" spans="8:8" ht="34.0">
      <c r="A8" s="39"/>
      <c r="B8" s="40" t="s">
        <v>11</v>
      </c>
      <c r="C8" s="40" t="s">
        <v>12</v>
      </c>
      <c r="D8" s="40" t="s">
        <v>22</v>
      </c>
      <c r="E8" s="40" t="s">
        <v>23</v>
      </c>
      <c r="F8" s="41" t="s">
        <v>37</v>
      </c>
      <c r="G8" s="25">
        <v>52.0</v>
      </c>
      <c r="H8" s="25">
        <v>90.0</v>
      </c>
      <c r="I8" s="25">
        <v>51.0</v>
      </c>
      <c r="J8" s="25">
        <f t="shared" si="0"/>
        <v>-39.0</v>
      </c>
      <c r="K8" s="25">
        <v>1.0</v>
      </c>
      <c r="L8" s="25">
        <f>G8-I8-K8</f>
        <v>0.0</v>
      </c>
      <c r="M8" s="25" t="s">
        <v>170</v>
      </c>
    </row>
    <row r="9" spans="8:8" ht="17.0">
      <c r="A9" s="39"/>
      <c r="B9" s="40" t="s">
        <v>11</v>
      </c>
      <c r="C9" s="40" t="s">
        <v>12</v>
      </c>
      <c r="D9" s="40" t="s">
        <v>22</v>
      </c>
      <c r="E9" s="40" t="s">
        <v>23</v>
      </c>
      <c r="F9" s="41" t="s">
        <v>38</v>
      </c>
      <c r="G9" s="25">
        <v>22.0</v>
      </c>
      <c r="H9" s="25">
        <v>90.0</v>
      </c>
      <c r="I9" s="25">
        <v>22.0</v>
      </c>
      <c r="J9" s="25">
        <f t="shared" si="0"/>
        <v>-68.0</v>
      </c>
      <c r="K9" s="25">
        <v>0.0</v>
      </c>
      <c r="L9" s="25">
        <f t="shared" si="1"/>
        <v>0.0</v>
      </c>
      <c r="M9" s="25"/>
    </row>
    <row r="10" spans="8:8" ht="51.0">
      <c r="A10" s="39"/>
      <c r="B10" s="40" t="s">
        <v>11</v>
      </c>
      <c r="C10" s="40" t="s">
        <v>12</v>
      </c>
      <c r="D10" s="40" t="s">
        <v>22</v>
      </c>
      <c r="E10" s="40" t="s">
        <v>23</v>
      </c>
      <c r="F10" s="41" t="s">
        <v>39</v>
      </c>
      <c r="G10" s="25">
        <v>307.0</v>
      </c>
      <c r="H10" s="25">
        <v>90.0</v>
      </c>
      <c r="I10" s="25">
        <v>90.0</v>
      </c>
      <c r="J10" s="25">
        <f t="shared" si="0"/>
        <v>0.0</v>
      </c>
      <c r="K10" s="25">
        <v>2.0</v>
      </c>
      <c r="L10" s="25">
        <f t="shared" si="1"/>
        <v>215.0</v>
      </c>
      <c r="M10" s="25" t="s">
        <v>181</v>
      </c>
    </row>
    <row r="11" spans="8:8" ht="51.0">
      <c r="A11" s="39"/>
      <c r="B11" s="40" t="s">
        <v>11</v>
      </c>
      <c r="C11" s="40" t="s">
        <v>12</v>
      </c>
      <c r="D11" s="40" t="s">
        <v>22</v>
      </c>
      <c r="E11" s="40" t="s">
        <v>23</v>
      </c>
      <c r="F11" s="41" t="s">
        <v>40</v>
      </c>
      <c r="G11" s="25">
        <v>96.0</v>
      </c>
      <c r="H11" s="25">
        <v>90.0</v>
      </c>
      <c r="I11" s="25">
        <v>90.0</v>
      </c>
      <c r="J11" s="25">
        <f t="shared" si="0"/>
        <v>0.0</v>
      </c>
      <c r="K11" s="25">
        <v>0.0</v>
      </c>
      <c r="L11" s="25">
        <f t="shared" si="1"/>
        <v>6.0</v>
      </c>
      <c r="M11" s="25" t="s">
        <v>176</v>
      </c>
    </row>
    <row r="12" spans="8:8" ht="33.65" customHeight="1">
      <c r="A12" s="39"/>
      <c r="B12" s="40" t="s">
        <v>11</v>
      </c>
      <c r="C12" s="40" t="s">
        <v>12</v>
      </c>
      <c r="D12" s="40" t="s">
        <v>22</v>
      </c>
      <c r="E12" s="40" t="s">
        <v>23</v>
      </c>
      <c r="F12" s="41" t="s">
        <v>41</v>
      </c>
      <c r="G12" s="25">
        <v>48.0</v>
      </c>
      <c r="H12" s="25">
        <v>90.0</v>
      </c>
      <c r="I12" s="25">
        <v>48.0</v>
      </c>
      <c r="J12" s="25">
        <f t="shared" si="0"/>
        <v>-42.0</v>
      </c>
      <c r="K12" s="25">
        <v>0.0</v>
      </c>
      <c r="L12" s="25">
        <f t="shared" si="1"/>
        <v>0.0</v>
      </c>
      <c r="M12" s="25" t="s">
        <v>168</v>
      </c>
    </row>
    <row r="13" spans="8:8" ht="17.0">
      <c r="A13" s="42" t="s">
        <v>151</v>
      </c>
      <c r="B13" s="43"/>
      <c r="C13" s="43"/>
      <c r="D13" s="43"/>
      <c r="E13" s="43"/>
      <c r="F13" s="44"/>
      <c r="G13" s="45">
        <f t="shared" si="2" ref="G13:I13">SUM(G2:G12)</f>
        <v>971.0</v>
      </c>
      <c r="H13" s="45">
        <f t="shared" si="2"/>
        <v>990.0</v>
      </c>
      <c r="I13" s="45">
        <f t="shared" si="2"/>
        <v>620.0</v>
      </c>
      <c r="J13" s="45">
        <f>SUM(J2:J12)</f>
        <v>-370.0</v>
      </c>
      <c r="K13" s="45">
        <f t="shared" si="3" ref="K13:L13">SUM(K2:K12)</f>
        <v>7.0</v>
      </c>
      <c r="L13" s="45">
        <f t="shared" si="3"/>
        <v>344.0</v>
      </c>
      <c r="M13" s="45"/>
    </row>
  </sheetData>
  <mergeCells count="2">
    <mergeCell ref="A2:A12"/>
    <mergeCell ref="A13:F13"/>
  </mergeCells>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O14"/>
  <sheetViews>
    <sheetView workbookViewId="0">
      <selection activeCell="A2" sqref="A2:M13"/>
    </sheetView>
  </sheetViews>
  <sheetFormatPr defaultRowHeight="24.65" customHeight="1" defaultColWidth="10"/>
  <cols>
    <col min="3" max="3" customWidth="1" width="14.1796875" style="0"/>
    <col min="4" max="4" customWidth="1" width="17.542969" style="0"/>
    <col min="6" max="6" customWidth="1" width="20.542969" style="0"/>
  </cols>
  <sheetData>
    <row r="1" spans="8:8" ht="24.65" customHeight="1">
      <c r="A1" s="34" t="s">
        <v>29</v>
      </c>
      <c r="B1" s="34" t="s">
        <v>30</v>
      </c>
      <c r="C1" s="35" t="s">
        <v>0</v>
      </c>
      <c r="D1" s="34" t="s">
        <v>1</v>
      </c>
      <c r="E1" s="34" t="s">
        <v>2</v>
      </c>
      <c r="F1" s="34" t="s">
        <v>3</v>
      </c>
      <c r="G1" s="35" t="s">
        <v>4</v>
      </c>
      <c r="H1" s="36" t="s">
        <v>5</v>
      </c>
      <c r="I1" s="36" t="s">
        <v>6</v>
      </c>
      <c r="J1" s="37" t="s">
        <v>7</v>
      </c>
      <c r="K1" s="36" t="s">
        <v>8</v>
      </c>
      <c r="L1" s="36" t="s">
        <v>9</v>
      </c>
      <c r="M1" s="38" t="s">
        <v>10</v>
      </c>
    </row>
    <row r="2" spans="8:8" ht="24.65" customHeight="1">
      <c r="A2" s="46">
        <v>3.0</v>
      </c>
      <c r="B2" s="47" t="s">
        <v>11</v>
      </c>
      <c r="C2" s="47" t="s">
        <v>12</v>
      </c>
      <c r="D2" s="47" t="s">
        <v>42</v>
      </c>
      <c r="E2" s="47" t="s">
        <v>43</v>
      </c>
      <c r="F2" s="48" t="s">
        <v>44</v>
      </c>
      <c r="G2" s="25">
        <v>197.0</v>
      </c>
      <c r="H2" s="25">
        <v>90.0</v>
      </c>
      <c r="I2" s="25">
        <v>90.0</v>
      </c>
      <c r="J2" s="25">
        <f>I2-H2</f>
        <v>0.0</v>
      </c>
      <c r="K2" s="25">
        <v>4.0</v>
      </c>
      <c r="L2" s="25">
        <f>G2-I2-K2</f>
        <v>103.0</v>
      </c>
      <c r="M2" s="25"/>
    </row>
    <row r="3" spans="8:8" ht="24.65" customHeight="1">
      <c r="A3" s="46"/>
      <c r="B3" s="47" t="s">
        <v>11</v>
      </c>
      <c r="C3" s="47" t="s">
        <v>12</v>
      </c>
      <c r="D3" s="47" t="s">
        <v>42</v>
      </c>
      <c r="E3" s="47" t="s">
        <v>43</v>
      </c>
      <c r="F3" s="48" t="s">
        <v>45</v>
      </c>
      <c r="G3" s="25">
        <v>100.0</v>
      </c>
      <c r="H3" s="25">
        <v>90.0</v>
      </c>
      <c r="I3" s="25">
        <v>90.0</v>
      </c>
      <c r="J3" s="25">
        <f t="shared" si="0" ref="J3:J13">I3-H3</f>
        <v>0.0</v>
      </c>
      <c r="K3" s="25">
        <v>3.0</v>
      </c>
      <c r="L3" s="25">
        <f t="shared" si="1" ref="L3:L13">G3-I3-K3</f>
        <v>7.0</v>
      </c>
      <c r="M3" s="25"/>
    </row>
    <row r="4" spans="8:8" ht="24.65" customHeight="1">
      <c r="A4" s="46"/>
      <c r="B4" s="47" t="s">
        <v>11</v>
      </c>
      <c r="C4" s="47" t="s">
        <v>12</v>
      </c>
      <c r="D4" s="47" t="s">
        <v>42</v>
      </c>
      <c r="E4" s="47" t="s">
        <v>43</v>
      </c>
      <c r="F4" s="48" t="s">
        <v>46</v>
      </c>
      <c r="G4" s="25">
        <v>55.0</v>
      </c>
      <c r="H4" s="25">
        <v>90.0</v>
      </c>
      <c r="I4" s="25">
        <v>54.0</v>
      </c>
      <c r="J4" s="25">
        <f t="shared" si="0"/>
        <v>-36.0</v>
      </c>
      <c r="K4" s="25">
        <v>1.0</v>
      </c>
      <c r="L4" s="25">
        <f t="shared" si="1"/>
        <v>0.0</v>
      </c>
      <c r="M4" s="25" t="s">
        <v>177</v>
      </c>
    </row>
    <row r="5" spans="8:8" ht="24.65" customHeight="1">
      <c r="A5" s="46"/>
      <c r="B5" s="47" t="s">
        <v>11</v>
      </c>
      <c r="C5" s="47" t="s">
        <v>12</v>
      </c>
      <c r="D5" s="47" t="s">
        <v>42</v>
      </c>
      <c r="E5" s="47" t="s">
        <v>43</v>
      </c>
      <c r="F5" s="48" t="s">
        <v>47</v>
      </c>
      <c r="G5" s="25">
        <v>63.0</v>
      </c>
      <c r="H5" s="25">
        <v>90.0</v>
      </c>
      <c r="I5" s="25">
        <v>63.0</v>
      </c>
      <c r="J5" s="25">
        <f t="shared" si="0"/>
        <v>-27.0</v>
      </c>
      <c r="K5" s="25">
        <v>0.0</v>
      </c>
      <c r="L5" s="25">
        <f t="shared" si="1"/>
        <v>0.0</v>
      </c>
      <c r="M5" s="25" t="s">
        <v>166</v>
      </c>
    </row>
    <row r="6" spans="8:8" ht="24.65" customHeight="1">
      <c r="A6" s="46"/>
      <c r="B6" s="47" t="s">
        <v>11</v>
      </c>
      <c r="C6" s="47" t="s">
        <v>12</v>
      </c>
      <c r="D6" s="47" t="s">
        <v>42</v>
      </c>
      <c r="E6" s="47" t="s">
        <v>43</v>
      </c>
      <c r="F6" s="48" t="s">
        <v>48</v>
      </c>
      <c r="G6" s="25">
        <v>13.0</v>
      </c>
      <c r="H6" s="25">
        <v>90.0</v>
      </c>
      <c r="I6" s="25">
        <v>12.0</v>
      </c>
      <c r="J6" s="25">
        <f t="shared" si="0"/>
        <v>-78.0</v>
      </c>
      <c r="K6" s="25">
        <v>1.0</v>
      </c>
      <c r="L6" s="25">
        <f t="shared" si="1"/>
        <v>0.0</v>
      </c>
      <c r="M6" s="25"/>
    </row>
    <row r="7" spans="8:8" ht="24.65" customHeight="1">
      <c r="A7" s="46"/>
      <c r="B7" s="47" t="s">
        <v>11</v>
      </c>
      <c r="C7" s="47" t="s">
        <v>12</v>
      </c>
      <c r="D7" s="47" t="s">
        <v>42</v>
      </c>
      <c r="E7" s="47" t="s">
        <v>43</v>
      </c>
      <c r="F7" s="48" t="s">
        <v>49</v>
      </c>
      <c r="G7" s="25">
        <v>37.0</v>
      </c>
      <c r="H7" s="25">
        <v>90.0</v>
      </c>
      <c r="I7" s="25">
        <v>36.0</v>
      </c>
      <c r="J7" s="25">
        <f t="shared" si="0"/>
        <v>-54.0</v>
      </c>
      <c r="K7" s="25">
        <v>0.0</v>
      </c>
      <c r="L7" s="25">
        <f t="shared" si="1"/>
        <v>1.0</v>
      </c>
      <c r="M7" s="25" t="s">
        <v>165</v>
      </c>
    </row>
    <row r="8" spans="8:8" ht="24.65" customHeight="1">
      <c r="A8" s="46"/>
      <c r="B8" s="47" t="s">
        <v>11</v>
      </c>
      <c r="C8" s="47" t="s">
        <v>12</v>
      </c>
      <c r="D8" s="47" t="s">
        <v>42</v>
      </c>
      <c r="E8" s="47" t="s">
        <v>43</v>
      </c>
      <c r="F8" s="48" t="s">
        <v>50</v>
      </c>
      <c r="G8" s="25">
        <v>46.0</v>
      </c>
      <c r="H8" s="25">
        <v>90.0</v>
      </c>
      <c r="I8" s="25">
        <v>46.0</v>
      </c>
      <c r="J8" s="25">
        <f t="shared" si="0"/>
        <v>-44.0</v>
      </c>
      <c r="K8" s="25">
        <v>0.0</v>
      </c>
      <c r="L8" s="25">
        <f t="shared" si="1"/>
        <v>0.0</v>
      </c>
      <c r="M8" s="25"/>
    </row>
    <row r="9" spans="8:8" ht="24.65" customHeight="1">
      <c r="A9" s="46"/>
      <c r="B9" s="47" t="s">
        <v>11</v>
      </c>
      <c r="C9" s="47" t="s">
        <v>12</v>
      </c>
      <c r="D9" s="47" t="s">
        <v>42</v>
      </c>
      <c r="E9" s="47" t="s">
        <v>43</v>
      </c>
      <c r="F9" s="49" t="s">
        <v>51</v>
      </c>
      <c r="G9" s="25">
        <v>241.0</v>
      </c>
      <c r="H9" s="25">
        <v>90.0</v>
      </c>
      <c r="I9" s="25">
        <v>90.0</v>
      </c>
      <c r="J9" s="25">
        <f t="shared" si="0"/>
        <v>0.0</v>
      </c>
      <c r="K9" s="25">
        <v>4.0</v>
      </c>
      <c r="L9" s="25">
        <f t="shared" si="1"/>
        <v>147.0</v>
      </c>
      <c r="M9" s="25"/>
    </row>
    <row r="10" spans="8:8" ht="24.65" customHeight="1">
      <c r="A10" s="46"/>
      <c r="B10" s="47" t="s">
        <v>11</v>
      </c>
      <c r="C10" s="47" t="s">
        <v>12</v>
      </c>
      <c r="D10" s="47" t="s">
        <v>42</v>
      </c>
      <c r="E10" s="47" t="s">
        <v>43</v>
      </c>
      <c r="F10" s="48" t="s">
        <v>52</v>
      </c>
      <c r="G10" s="25">
        <v>61.0</v>
      </c>
      <c r="H10" s="25">
        <v>90.0</v>
      </c>
      <c r="I10" s="25">
        <v>60.0</v>
      </c>
      <c r="J10" s="25">
        <f t="shared" si="0"/>
        <v>-30.0</v>
      </c>
      <c r="K10" s="25">
        <v>1.0</v>
      </c>
      <c r="L10" s="25">
        <f t="shared" si="1"/>
        <v>0.0</v>
      </c>
      <c r="M10" s="25" t="s">
        <v>156</v>
      </c>
    </row>
    <row r="11" spans="8:8" ht="24.65" customHeight="1">
      <c r="A11" s="46"/>
      <c r="B11" s="47" t="s">
        <v>11</v>
      </c>
      <c r="C11" s="47" t="s">
        <v>12</v>
      </c>
      <c r="D11" s="47" t="s">
        <v>42</v>
      </c>
      <c r="E11" s="47" t="s">
        <v>43</v>
      </c>
      <c r="F11" s="48" t="s">
        <v>53</v>
      </c>
      <c r="G11" s="25">
        <v>59.0</v>
      </c>
      <c r="H11" s="25">
        <v>90.0</v>
      </c>
      <c r="I11" s="25">
        <v>55.0</v>
      </c>
      <c r="J11" s="25">
        <f t="shared" si="0"/>
        <v>-35.0</v>
      </c>
      <c r="K11" s="25">
        <v>4.0</v>
      </c>
      <c r="L11" s="25">
        <f t="shared" si="1"/>
        <v>0.0</v>
      </c>
      <c r="M11" s="25"/>
    </row>
    <row r="12" spans="8:8" ht="24.65" customHeight="1">
      <c r="A12" s="46"/>
      <c r="B12" s="47" t="s">
        <v>11</v>
      </c>
      <c r="C12" s="47" t="s">
        <v>54</v>
      </c>
      <c r="D12" s="47" t="s">
        <v>55</v>
      </c>
      <c r="E12" s="48" t="s">
        <v>56</v>
      </c>
      <c r="F12" s="48" t="s">
        <v>57</v>
      </c>
      <c r="G12" s="25">
        <v>29.0</v>
      </c>
      <c r="H12" s="25">
        <v>90.0</v>
      </c>
      <c r="I12" s="25">
        <v>29.0</v>
      </c>
      <c r="J12" s="25">
        <f t="shared" si="0"/>
        <v>-61.0</v>
      </c>
      <c r="K12" s="25">
        <v>0.0</v>
      </c>
      <c r="L12" s="25">
        <f t="shared" si="1"/>
        <v>0.0</v>
      </c>
      <c r="M12" s="25"/>
    </row>
    <row r="13" spans="8:8" ht="24.65" customHeight="1">
      <c r="A13" s="46"/>
      <c r="B13" s="47" t="s">
        <v>11</v>
      </c>
      <c r="C13" s="47" t="s">
        <v>54</v>
      </c>
      <c r="D13" s="47" t="s">
        <v>55</v>
      </c>
      <c r="E13" s="48" t="s">
        <v>56</v>
      </c>
      <c r="F13" s="48" t="s">
        <v>58</v>
      </c>
      <c r="G13" s="25">
        <v>254.0</v>
      </c>
      <c r="H13" s="25">
        <v>90.0</v>
      </c>
      <c r="I13" s="25">
        <v>90.0</v>
      </c>
      <c r="J13" s="25">
        <f t="shared" si="0"/>
        <v>0.0</v>
      </c>
      <c r="K13" s="25">
        <v>18.0</v>
      </c>
      <c r="L13" s="25">
        <f t="shared" si="1"/>
        <v>146.0</v>
      </c>
      <c r="M13" s="25"/>
    </row>
    <row r="14" spans="8:8" ht="24.65" customHeight="1">
      <c r="A14" s="50" t="s">
        <v>151</v>
      </c>
      <c r="B14" s="51"/>
      <c r="C14" s="51"/>
      <c r="D14" s="51"/>
      <c r="E14" s="51"/>
      <c r="F14" s="52"/>
      <c r="G14" s="25">
        <f>SUM(G2:G13)</f>
        <v>1155.0</v>
      </c>
      <c r="H14" s="25">
        <f>SUM(H2:H13)</f>
        <v>1080.0</v>
      </c>
      <c r="I14" s="25">
        <f t="shared" si="2" ref="I14:M14">SUM(I2:I13)</f>
        <v>715.0</v>
      </c>
      <c r="J14" s="25">
        <f t="shared" si="2"/>
        <v>-365.0</v>
      </c>
      <c r="K14" s="25">
        <f t="shared" si="2"/>
        <v>36.0</v>
      </c>
      <c r="L14" s="25">
        <f t="shared" si="2"/>
        <v>404.0</v>
      </c>
      <c r="M14" s="25">
        <f t="shared" si="2"/>
        <v>0.0</v>
      </c>
    </row>
  </sheetData>
  <mergeCells count="2">
    <mergeCell ref="A2:A13"/>
    <mergeCell ref="A14:F14"/>
  </mergeCells>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O14"/>
  <sheetViews>
    <sheetView workbookViewId="0">
      <selection activeCell="A2" sqref="A2:M13"/>
    </sheetView>
  </sheetViews>
  <sheetFormatPr defaultRowHeight="14.5" defaultColWidth="10"/>
  <cols>
    <col min="6" max="6" customWidth="1" width="24.269531" style="0"/>
  </cols>
  <sheetData>
    <row r="1" spans="8:8" ht="77.5">
      <c r="A1" s="34" t="s">
        <v>29</v>
      </c>
      <c r="B1" s="34" t="s">
        <v>30</v>
      </c>
      <c r="C1" s="35" t="s">
        <v>0</v>
      </c>
      <c r="D1" s="34" t="s">
        <v>1</v>
      </c>
      <c r="E1" s="34" t="s">
        <v>2</v>
      </c>
      <c r="F1" s="34" t="s">
        <v>3</v>
      </c>
      <c r="G1" s="35" t="s">
        <v>4</v>
      </c>
      <c r="H1" s="36" t="s">
        <v>5</v>
      </c>
      <c r="I1" s="36" t="s">
        <v>6</v>
      </c>
      <c r="J1" s="37" t="s">
        <v>7</v>
      </c>
      <c r="K1" s="36" t="s">
        <v>8</v>
      </c>
      <c r="L1" s="36" t="s">
        <v>9</v>
      </c>
      <c r="M1" s="38" t="s">
        <v>10</v>
      </c>
    </row>
    <row r="2" spans="8:8" ht="17.0">
      <c r="A2" s="53">
        <v>4.0</v>
      </c>
      <c r="B2" s="54" t="s">
        <v>11</v>
      </c>
      <c r="C2" s="54" t="s">
        <v>54</v>
      </c>
      <c r="D2" s="54" t="s">
        <v>55</v>
      </c>
      <c r="E2" s="55" t="s">
        <v>56</v>
      </c>
      <c r="F2" s="55" t="s">
        <v>59</v>
      </c>
      <c r="G2" s="25">
        <v>78.0</v>
      </c>
      <c r="H2" s="25">
        <v>90.0</v>
      </c>
      <c r="I2" s="56">
        <v>77.0</v>
      </c>
      <c r="J2" s="25">
        <f>I2-H2</f>
        <v>-13.0</v>
      </c>
      <c r="K2" s="56">
        <v>1.0</v>
      </c>
      <c r="L2" s="25">
        <f>G2-I2-K2</f>
        <v>0.0</v>
      </c>
      <c r="M2" s="57" t="s">
        <v>157</v>
      </c>
    </row>
    <row r="3" spans="8:8" ht="17.0">
      <c r="A3" s="53"/>
      <c r="B3" s="54" t="s">
        <v>11</v>
      </c>
      <c r="C3" s="54" t="s">
        <v>54</v>
      </c>
      <c r="D3" s="54" t="s">
        <v>55</v>
      </c>
      <c r="E3" s="55" t="s">
        <v>56</v>
      </c>
      <c r="F3" s="55" t="s">
        <v>60</v>
      </c>
      <c r="G3" s="25">
        <v>86.0</v>
      </c>
      <c r="H3" s="25">
        <v>90.0</v>
      </c>
      <c r="I3" s="25">
        <v>80.0</v>
      </c>
      <c r="J3" s="25">
        <f t="shared" si="0" ref="J3:J13">I3-H3</f>
        <v>-10.0</v>
      </c>
      <c r="K3" s="25">
        <v>6.0</v>
      </c>
      <c r="L3" s="25">
        <f t="shared" si="1" ref="L3:L13">G3-I3-K3</f>
        <v>0.0</v>
      </c>
      <c r="M3" s="25"/>
    </row>
    <row r="4" spans="8:8" ht="17.0">
      <c r="A4" s="53"/>
      <c r="B4" s="54" t="s">
        <v>11</v>
      </c>
      <c r="C4" s="54" t="s">
        <v>54</v>
      </c>
      <c r="D4" s="54" t="s">
        <v>55</v>
      </c>
      <c r="E4" s="55" t="s">
        <v>56</v>
      </c>
      <c r="F4" s="55" t="s">
        <v>61</v>
      </c>
      <c r="G4" s="25">
        <v>91.0</v>
      </c>
      <c r="H4" s="25">
        <v>90.0</v>
      </c>
      <c r="I4" s="25">
        <v>88.0</v>
      </c>
      <c r="J4" s="25">
        <f t="shared" si="0"/>
        <v>-2.0</v>
      </c>
      <c r="K4" s="25">
        <v>3.0</v>
      </c>
      <c r="L4" s="25">
        <f t="shared" si="1"/>
        <v>0.0</v>
      </c>
      <c r="M4" s="25"/>
    </row>
    <row r="5" spans="8:8" ht="17.0">
      <c r="A5" s="53"/>
      <c r="B5" s="54" t="s">
        <v>11</v>
      </c>
      <c r="C5" s="54" t="s">
        <v>54</v>
      </c>
      <c r="D5" s="54" t="s">
        <v>55</v>
      </c>
      <c r="E5" s="55" t="s">
        <v>56</v>
      </c>
      <c r="F5" s="55" t="s">
        <v>62</v>
      </c>
      <c r="G5" s="25">
        <v>152.0</v>
      </c>
      <c r="H5" s="25">
        <v>90.0</v>
      </c>
      <c r="I5" s="25">
        <v>90.0</v>
      </c>
      <c r="J5" s="25">
        <f t="shared" si="0"/>
        <v>0.0</v>
      </c>
      <c r="K5" s="25">
        <v>12.0</v>
      </c>
      <c r="L5" s="25">
        <f t="shared" si="1"/>
        <v>50.0</v>
      </c>
      <c r="M5" s="25"/>
    </row>
    <row r="6" spans="8:8" ht="17.0">
      <c r="A6" s="53"/>
      <c r="B6" s="54" t="s">
        <v>11</v>
      </c>
      <c r="C6" s="54" t="s">
        <v>54</v>
      </c>
      <c r="D6" s="54" t="s">
        <v>55</v>
      </c>
      <c r="E6" s="55" t="s">
        <v>56</v>
      </c>
      <c r="F6" s="55" t="s">
        <v>63</v>
      </c>
      <c r="G6" s="25">
        <v>181.0</v>
      </c>
      <c r="H6" s="25">
        <v>90.0</v>
      </c>
      <c r="I6" s="25">
        <v>90.0</v>
      </c>
      <c r="J6" s="25">
        <f t="shared" si="0"/>
        <v>0.0</v>
      </c>
      <c r="K6" s="25">
        <v>12.0</v>
      </c>
      <c r="L6" s="25">
        <f t="shared" si="1"/>
        <v>79.0</v>
      </c>
      <c r="M6" s="25"/>
    </row>
    <row r="7" spans="8:8" ht="17.0">
      <c r="A7" s="53"/>
      <c r="B7" s="54" t="s">
        <v>11</v>
      </c>
      <c r="C7" s="54" t="s">
        <v>54</v>
      </c>
      <c r="D7" s="54" t="s">
        <v>55</v>
      </c>
      <c r="E7" s="55" t="s">
        <v>56</v>
      </c>
      <c r="F7" s="55" t="s">
        <v>64</v>
      </c>
      <c r="G7" s="25">
        <v>63.0</v>
      </c>
      <c r="H7" s="25">
        <v>90.0</v>
      </c>
      <c r="I7" s="58"/>
      <c r="J7" s="25">
        <f t="shared" si="0"/>
        <v>-90.0</v>
      </c>
      <c r="K7" s="25"/>
      <c r="L7" s="25">
        <f t="shared" si="1"/>
        <v>63.0</v>
      </c>
      <c r="M7" s="25"/>
    </row>
    <row r="8" spans="8:8" ht="46.9" customHeight="1">
      <c r="A8" s="53"/>
      <c r="B8" s="54" t="s">
        <v>11</v>
      </c>
      <c r="C8" s="54" t="s">
        <v>54</v>
      </c>
      <c r="D8" s="54" t="s">
        <v>55</v>
      </c>
      <c r="E8" s="55" t="s">
        <v>56</v>
      </c>
      <c r="F8" s="55" t="s">
        <v>65</v>
      </c>
      <c r="G8" s="25">
        <v>63.0</v>
      </c>
      <c r="H8" s="25">
        <v>90.0</v>
      </c>
      <c r="I8" s="25">
        <v>60.0</v>
      </c>
      <c r="J8" s="25">
        <f t="shared" si="0"/>
        <v>-30.0</v>
      </c>
      <c r="K8" s="25">
        <v>3.0</v>
      </c>
      <c r="L8" s="25">
        <f t="shared" si="1"/>
        <v>0.0</v>
      </c>
      <c r="M8" s="25" t="s">
        <v>180</v>
      </c>
    </row>
    <row r="9" spans="8:8" ht="52.9" customHeight="1">
      <c r="A9" s="53"/>
      <c r="B9" s="54" t="s">
        <v>11</v>
      </c>
      <c r="C9" s="54" t="s">
        <v>54</v>
      </c>
      <c r="D9" s="54" t="s">
        <v>55</v>
      </c>
      <c r="E9" s="55" t="s">
        <v>56</v>
      </c>
      <c r="F9" s="55" t="s">
        <v>66</v>
      </c>
      <c r="G9" s="25">
        <v>90.0</v>
      </c>
      <c r="H9" s="25">
        <v>90.0</v>
      </c>
      <c r="I9" s="25">
        <v>85.0</v>
      </c>
      <c r="J9" s="25">
        <f t="shared" si="0"/>
        <v>-5.0</v>
      </c>
      <c r="K9" s="25">
        <v>5.0</v>
      </c>
      <c r="L9" s="25">
        <f t="shared" si="1"/>
        <v>0.0</v>
      </c>
      <c r="M9" s="25" t="s">
        <v>179</v>
      </c>
    </row>
    <row r="10" spans="8:8" ht="64.15" customHeight="1">
      <c r="A10" s="53"/>
      <c r="B10" s="54" t="s">
        <v>11</v>
      </c>
      <c r="C10" s="54" t="s">
        <v>54</v>
      </c>
      <c r="D10" s="54" t="s">
        <v>55</v>
      </c>
      <c r="E10" s="55" t="s">
        <v>56</v>
      </c>
      <c r="F10" s="55" t="s">
        <v>67</v>
      </c>
      <c r="G10" s="25">
        <v>106.0</v>
      </c>
      <c r="H10" s="25">
        <v>90.0</v>
      </c>
      <c r="I10" s="25">
        <v>90.0</v>
      </c>
      <c r="J10" s="25">
        <f t="shared" si="0"/>
        <v>0.0</v>
      </c>
      <c r="K10" s="25">
        <v>2.0</v>
      </c>
      <c r="L10" s="25">
        <f t="shared" si="1"/>
        <v>14.0</v>
      </c>
      <c r="M10" s="25" t="s">
        <v>179</v>
      </c>
    </row>
    <row r="11" spans="8:8" ht="17.0">
      <c r="A11" s="53"/>
      <c r="B11" s="54" t="s">
        <v>11</v>
      </c>
      <c r="C11" s="54" t="s">
        <v>54</v>
      </c>
      <c r="D11" s="54" t="s">
        <v>55</v>
      </c>
      <c r="E11" s="55" t="s">
        <v>56</v>
      </c>
      <c r="F11" s="55" t="s">
        <v>68</v>
      </c>
      <c r="G11" s="25">
        <v>92.0</v>
      </c>
      <c r="H11" s="25">
        <v>90.0</v>
      </c>
      <c r="I11" s="25">
        <v>81.0</v>
      </c>
      <c r="J11" s="25">
        <f t="shared" si="0"/>
        <v>-9.0</v>
      </c>
      <c r="K11" s="25">
        <v>11.0</v>
      </c>
      <c r="L11" s="25">
        <f t="shared" si="1"/>
        <v>0.0</v>
      </c>
      <c r="M11" s="25"/>
    </row>
    <row r="12" spans="8:8" ht="17.0">
      <c r="A12" s="53"/>
      <c r="B12" s="54" t="s">
        <v>11</v>
      </c>
      <c r="C12" s="54" t="s">
        <v>54</v>
      </c>
      <c r="D12" s="54" t="s">
        <v>55</v>
      </c>
      <c r="E12" s="55" t="s">
        <v>56</v>
      </c>
      <c r="F12" s="55" t="s">
        <v>69</v>
      </c>
      <c r="G12" s="25">
        <v>206.0</v>
      </c>
      <c r="H12" s="25">
        <v>90.0</v>
      </c>
      <c r="I12" s="25">
        <v>90.0</v>
      </c>
      <c r="J12" s="25">
        <f t="shared" si="0"/>
        <v>0.0</v>
      </c>
      <c r="K12" s="25">
        <v>1.0</v>
      </c>
      <c r="L12" s="25">
        <f t="shared" si="1"/>
        <v>115.0</v>
      </c>
      <c r="M12" s="25"/>
    </row>
    <row r="13" spans="8:8" ht="17.0">
      <c r="A13" s="53"/>
      <c r="B13" s="54" t="s">
        <v>11</v>
      </c>
      <c r="C13" s="54" t="s">
        <v>54</v>
      </c>
      <c r="D13" s="54" t="s">
        <v>55</v>
      </c>
      <c r="E13" s="55" t="s">
        <v>56</v>
      </c>
      <c r="F13" s="55" t="s">
        <v>70</v>
      </c>
      <c r="G13" s="25">
        <v>115.0</v>
      </c>
      <c r="H13" s="25">
        <v>90.0</v>
      </c>
      <c r="I13" s="25">
        <v>90.0</v>
      </c>
      <c r="J13" s="25">
        <f t="shared" si="0"/>
        <v>0.0</v>
      </c>
      <c r="K13" s="25">
        <v>4.0</v>
      </c>
      <c r="L13" s="25">
        <f t="shared" si="1"/>
        <v>21.0</v>
      </c>
      <c r="M13" s="25"/>
    </row>
    <row r="14" spans="8:8" ht="17.0">
      <c r="A14" s="50" t="s">
        <v>151</v>
      </c>
      <c r="B14" s="51"/>
      <c r="C14" s="51"/>
      <c r="D14" s="51"/>
      <c r="E14" s="51"/>
      <c r="F14" s="52"/>
      <c r="G14" s="25">
        <f>SUM(G2:G13)</f>
        <v>1323.0</v>
      </c>
      <c r="H14" s="25">
        <f>SUM(H2:H13)</f>
        <v>1080.0</v>
      </c>
      <c r="I14" s="25">
        <f t="shared" si="2" ref="I14:M14">SUM(I2:I13)</f>
        <v>921.0</v>
      </c>
      <c r="J14" s="25">
        <f t="shared" si="2"/>
        <v>-159.0</v>
      </c>
      <c r="K14" s="25">
        <f t="shared" si="2"/>
        <v>60.0</v>
      </c>
      <c r="L14" s="25">
        <f t="shared" si="2"/>
        <v>342.0</v>
      </c>
      <c r="M14" s="25">
        <f t="shared" si="2"/>
        <v>0.0</v>
      </c>
    </row>
  </sheetData>
  <mergeCells count="2">
    <mergeCell ref="A2:A13"/>
    <mergeCell ref="A14:F14"/>
  </mergeCells>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O13"/>
  <sheetViews>
    <sheetView workbookViewId="0" topLeftCell="A4">
      <selection activeCell="A2" sqref="A2:M12"/>
    </sheetView>
  </sheetViews>
  <sheetFormatPr defaultRowHeight="14.5" defaultColWidth="10"/>
  <cols>
    <col min="6" max="6" customWidth="1" width="19.726562" style="0"/>
  </cols>
  <sheetData>
    <row r="1" spans="8:8" ht="77.5">
      <c r="A1" s="34" t="s">
        <v>29</v>
      </c>
      <c r="B1" s="34" t="s">
        <v>30</v>
      </c>
      <c r="C1" s="35" t="s">
        <v>0</v>
      </c>
      <c r="D1" s="34" t="s">
        <v>1</v>
      </c>
      <c r="E1" s="34" t="s">
        <v>2</v>
      </c>
      <c r="F1" s="34" t="s">
        <v>3</v>
      </c>
      <c r="G1" s="35" t="s">
        <v>4</v>
      </c>
      <c r="H1" s="36" t="s">
        <v>5</v>
      </c>
      <c r="I1" s="36" t="s">
        <v>6</v>
      </c>
      <c r="J1" s="37" t="s">
        <v>7</v>
      </c>
      <c r="K1" s="36" t="s">
        <v>8</v>
      </c>
      <c r="L1" s="36" t="s">
        <v>9</v>
      </c>
      <c r="M1" s="38" t="s">
        <v>10</v>
      </c>
    </row>
    <row r="2" spans="8:8" ht="17.0">
      <c r="A2" s="59">
        <v>5.0</v>
      </c>
      <c r="B2" s="60" t="s">
        <v>11</v>
      </c>
      <c r="C2" s="60" t="s">
        <v>54</v>
      </c>
      <c r="D2" s="60" t="s">
        <v>55</v>
      </c>
      <c r="E2" s="61" t="s">
        <v>56</v>
      </c>
      <c r="F2" s="61" t="s">
        <v>71</v>
      </c>
      <c r="G2" s="25">
        <v>91.0</v>
      </c>
      <c r="H2" s="25">
        <v>90.0</v>
      </c>
      <c r="I2" s="25">
        <v>90.0</v>
      </c>
      <c r="J2" s="25">
        <f>I2-H2</f>
        <v>0.0</v>
      </c>
      <c r="K2" s="25">
        <v>0.0</v>
      </c>
      <c r="L2" s="25">
        <f>G2-I2-K2</f>
        <v>1.0</v>
      </c>
      <c r="M2" s="25"/>
    </row>
    <row r="3" spans="8:8" ht="24.0" customHeight="1">
      <c r="A3" s="59"/>
      <c r="B3" s="60" t="s">
        <v>11</v>
      </c>
      <c r="C3" s="60" t="s">
        <v>54</v>
      </c>
      <c r="D3" s="60" t="s">
        <v>55</v>
      </c>
      <c r="E3" s="61" t="s">
        <v>56</v>
      </c>
      <c r="F3" s="61" t="s">
        <v>72</v>
      </c>
      <c r="G3" s="25">
        <v>72.0</v>
      </c>
      <c r="H3" s="25">
        <v>90.0</v>
      </c>
      <c r="I3" s="25">
        <v>71.0</v>
      </c>
      <c r="J3" s="25">
        <f t="shared" si="0" ref="J3:J12">I3-H3</f>
        <v>-19.0</v>
      </c>
      <c r="K3" s="25">
        <v>1.0</v>
      </c>
      <c r="L3" s="25">
        <f t="shared" si="1" ref="L3:L12">G3-I3-K3</f>
        <v>0.0</v>
      </c>
      <c r="M3" s="25" t="s">
        <v>174</v>
      </c>
    </row>
    <row r="4" spans="8:8" ht="374.0">
      <c r="A4" s="59"/>
      <c r="B4" s="60" t="s">
        <v>11</v>
      </c>
      <c r="C4" s="60" t="s">
        <v>54</v>
      </c>
      <c r="D4" s="60" t="s">
        <v>55</v>
      </c>
      <c r="E4" s="61" t="s">
        <v>56</v>
      </c>
      <c r="F4" s="61" t="s">
        <v>73</v>
      </c>
      <c r="G4" s="25">
        <v>78.0</v>
      </c>
      <c r="H4" s="25">
        <v>90.0</v>
      </c>
      <c r="I4" s="25">
        <v>77.0</v>
      </c>
      <c r="J4" s="25">
        <f t="shared" si="0"/>
        <v>-13.0</v>
      </c>
      <c r="K4" s="25">
        <v>1.0</v>
      </c>
      <c r="L4" s="25">
        <f t="shared" si="1"/>
        <v>0.0</v>
      </c>
      <c r="M4" s="25" t="s">
        <v>162</v>
      </c>
    </row>
    <row r="5" spans="8:8" ht="119.0">
      <c r="A5" s="59"/>
      <c r="B5" s="60" t="s">
        <v>11</v>
      </c>
      <c r="C5" s="60" t="s">
        <v>54</v>
      </c>
      <c r="D5" s="60" t="s">
        <v>55</v>
      </c>
      <c r="E5" s="61" t="s">
        <v>56</v>
      </c>
      <c r="F5" s="61" t="s">
        <v>74</v>
      </c>
      <c r="G5" s="25">
        <v>116.0</v>
      </c>
      <c r="H5" s="25">
        <v>90.0</v>
      </c>
      <c r="I5" s="25">
        <v>90.0</v>
      </c>
      <c r="J5" s="25">
        <f t="shared" si="0"/>
        <v>0.0</v>
      </c>
      <c r="K5" s="25">
        <v>0.0</v>
      </c>
      <c r="L5" s="25">
        <f t="shared" si="1"/>
        <v>26.0</v>
      </c>
      <c r="M5" s="25" t="s">
        <v>172</v>
      </c>
    </row>
    <row r="6" spans="8:8" ht="238.0">
      <c r="A6" s="59"/>
      <c r="B6" s="60" t="s">
        <v>11</v>
      </c>
      <c r="C6" s="60" t="s">
        <v>54</v>
      </c>
      <c r="D6" s="60" t="s">
        <v>55</v>
      </c>
      <c r="E6" s="61" t="s">
        <v>56</v>
      </c>
      <c r="F6" s="61" t="s">
        <v>75</v>
      </c>
      <c r="G6" s="25">
        <v>113.0</v>
      </c>
      <c r="H6" s="25">
        <v>90.0</v>
      </c>
      <c r="I6" s="25">
        <v>90.0</v>
      </c>
      <c r="J6" s="25">
        <f t="shared" si="0"/>
        <v>0.0</v>
      </c>
      <c r="K6" s="25">
        <v>1.0</v>
      </c>
      <c r="L6" s="25">
        <f t="shared" si="1"/>
        <v>22.0</v>
      </c>
      <c r="M6" s="25" t="s">
        <v>161</v>
      </c>
    </row>
    <row r="7" spans="8:8" ht="52.9" customHeight="1">
      <c r="A7" s="59"/>
      <c r="B7" s="60" t="s">
        <v>11</v>
      </c>
      <c r="C7" s="60" t="s">
        <v>54</v>
      </c>
      <c r="D7" s="60" t="s">
        <v>55</v>
      </c>
      <c r="E7" s="61" t="s">
        <v>56</v>
      </c>
      <c r="F7" s="61" t="s">
        <v>76</v>
      </c>
      <c r="G7" s="25">
        <v>56.0</v>
      </c>
      <c r="H7" s="25">
        <v>90.0</v>
      </c>
      <c r="I7" s="25">
        <v>56.0</v>
      </c>
      <c r="J7" s="25">
        <f t="shared" si="0"/>
        <v>-34.0</v>
      </c>
      <c r="K7" s="25">
        <v>0.0</v>
      </c>
      <c r="L7" s="25">
        <f t="shared" si="1"/>
        <v>0.0</v>
      </c>
      <c r="M7" s="25" t="s">
        <v>173</v>
      </c>
    </row>
    <row r="8" spans="8:8" ht="17.0">
      <c r="A8" s="59"/>
      <c r="B8" s="60" t="s">
        <v>11</v>
      </c>
      <c r="C8" s="60" t="s">
        <v>77</v>
      </c>
      <c r="D8" s="60" t="s">
        <v>78</v>
      </c>
      <c r="E8" s="60" t="s">
        <v>79</v>
      </c>
      <c r="F8" s="62" t="s">
        <v>80</v>
      </c>
      <c r="G8" s="25">
        <v>80.0</v>
      </c>
      <c r="H8" s="25">
        <v>90.0</v>
      </c>
      <c r="I8" s="25">
        <v>80.0</v>
      </c>
      <c r="J8" s="25">
        <f t="shared" si="0"/>
        <v>-10.0</v>
      </c>
      <c r="K8" s="25">
        <v>0.0</v>
      </c>
      <c r="L8" s="25">
        <f t="shared" si="1"/>
        <v>0.0</v>
      </c>
      <c r="M8" s="25"/>
    </row>
    <row r="9" spans="8:8" ht="17.0">
      <c r="A9" s="59"/>
      <c r="B9" s="60" t="s">
        <v>11</v>
      </c>
      <c r="C9" s="60" t="s">
        <v>77</v>
      </c>
      <c r="D9" s="60" t="s">
        <v>78</v>
      </c>
      <c r="E9" s="60" t="s">
        <v>79</v>
      </c>
      <c r="F9" s="62" t="s">
        <v>81</v>
      </c>
      <c r="G9" s="25">
        <v>164.0</v>
      </c>
      <c r="H9" s="25">
        <v>90.0</v>
      </c>
      <c r="I9" s="25">
        <v>90.0</v>
      </c>
      <c r="J9" s="25">
        <f t="shared" si="0"/>
        <v>0.0</v>
      </c>
      <c r="K9" s="25">
        <v>2.0</v>
      </c>
      <c r="L9" s="25">
        <f t="shared" si="1"/>
        <v>72.0</v>
      </c>
      <c r="M9" s="25"/>
    </row>
    <row r="10" spans="8:8" ht="17.0">
      <c r="A10" s="59"/>
      <c r="B10" s="60" t="s">
        <v>11</v>
      </c>
      <c r="C10" s="60" t="s">
        <v>77</v>
      </c>
      <c r="D10" s="60" t="s">
        <v>78</v>
      </c>
      <c r="E10" s="60" t="s">
        <v>79</v>
      </c>
      <c r="F10" s="62" t="s">
        <v>82</v>
      </c>
      <c r="G10" s="25">
        <v>87.0</v>
      </c>
      <c r="H10" s="25">
        <v>90.0</v>
      </c>
      <c r="I10" s="25">
        <v>87.0</v>
      </c>
      <c r="J10" s="25">
        <f t="shared" si="0"/>
        <v>-3.0</v>
      </c>
      <c r="K10" s="25">
        <v>0.0</v>
      </c>
      <c r="L10" s="25">
        <f t="shared" si="1"/>
        <v>0.0</v>
      </c>
      <c r="M10" s="25"/>
    </row>
    <row r="11" spans="8:8" ht="17.0">
      <c r="A11" s="59"/>
      <c r="B11" s="60" t="s">
        <v>11</v>
      </c>
      <c r="C11" s="60" t="s">
        <v>77</v>
      </c>
      <c r="D11" s="60" t="s">
        <v>78</v>
      </c>
      <c r="E11" s="60" t="s">
        <v>79</v>
      </c>
      <c r="F11" s="62" t="s">
        <v>83</v>
      </c>
      <c r="G11" s="25">
        <v>152.0</v>
      </c>
      <c r="H11" s="25">
        <v>90.0</v>
      </c>
      <c r="I11" s="25">
        <v>90.0</v>
      </c>
      <c r="J11" s="25">
        <f t="shared" si="0"/>
        <v>0.0</v>
      </c>
      <c r="K11" s="25">
        <v>4.0</v>
      </c>
      <c r="L11" s="25">
        <f t="shared" si="1"/>
        <v>58.0</v>
      </c>
      <c r="M11" s="25"/>
    </row>
    <row r="12" spans="8:8" ht="17.0">
      <c r="A12" s="59"/>
      <c r="B12" s="60" t="s">
        <v>11</v>
      </c>
      <c r="C12" s="60" t="s">
        <v>77</v>
      </c>
      <c r="D12" s="60" t="s">
        <v>78</v>
      </c>
      <c r="E12" s="60" t="s">
        <v>79</v>
      </c>
      <c r="F12" s="62" t="s">
        <v>84</v>
      </c>
      <c r="G12" s="25">
        <v>175.0</v>
      </c>
      <c r="H12" s="25">
        <v>90.0</v>
      </c>
      <c r="I12" s="58"/>
      <c r="J12" s="25">
        <f t="shared" si="0"/>
        <v>-90.0</v>
      </c>
      <c r="K12" s="25"/>
      <c r="L12" s="25">
        <f t="shared" si="1"/>
        <v>175.0</v>
      </c>
      <c r="M12" s="25"/>
    </row>
    <row r="13" spans="8:8" ht="17.0">
      <c r="A13" s="50" t="s">
        <v>151</v>
      </c>
      <c r="B13" s="51"/>
      <c r="C13" s="51"/>
      <c r="D13" s="51"/>
      <c r="E13" s="51"/>
      <c r="F13" s="52"/>
      <c r="G13" s="25">
        <f>SUM(G2:G12)</f>
        <v>1184.0</v>
      </c>
      <c r="H13" s="25">
        <f>SUM(H2:H12)</f>
        <v>990.0</v>
      </c>
      <c r="I13" s="25">
        <f t="shared" si="2" ref="I13:M13">SUM(I2:I12)</f>
        <v>821.0</v>
      </c>
      <c r="J13" s="25">
        <f t="shared" si="2"/>
        <v>-169.0</v>
      </c>
      <c r="K13" s="25">
        <f t="shared" si="2"/>
        <v>9.0</v>
      </c>
      <c r="L13" s="25">
        <f t="shared" si="2"/>
        <v>354.0</v>
      </c>
      <c r="M13" s="25">
        <f t="shared" si="2"/>
        <v>0.0</v>
      </c>
    </row>
  </sheetData>
  <mergeCells count="2">
    <mergeCell ref="A2:A12"/>
    <mergeCell ref="A13:F13"/>
  </mergeCells>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O14"/>
  <sheetViews>
    <sheetView workbookViewId="0">
      <selection activeCell="A2" sqref="A2:M13"/>
    </sheetView>
  </sheetViews>
  <sheetFormatPr defaultRowHeight="14.5" defaultColWidth="10"/>
  <cols>
    <col min="5" max="5" customWidth="1" width="16.542969" style="0"/>
    <col min="6" max="6" customWidth="1" width="18.726562" style="0"/>
  </cols>
  <sheetData>
    <row r="1" spans="8:8" ht="77.5">
      <c r="A1" s="34" t="s">
        <v>29</v>
      </c>
      <c r="B1" s="34" t="s">
        <v>30</v>
      </c>
      <c r="C1" s="35" t="s">
        <v>0</v>
      </c>
      <c r="D1" s="34" t="s">
        <v>1</v>
      </c>
      <c r="E1" s="34" t="s">
        <v>2</v>
      </c>
      <c r="F1" s="34" t="s">
        <v>3</v>
      </c>
      <c r="G1" s="35" t="s">
        <v>4</v>
      </c>
      <c r="H1" s="36" t="s">
        <v>5</v>
      </c>
      <c r="I1" s="36" t="s">
        <v>6</v>
      </c>
      <c r="J1" s="37" t="s">
        <v>7</v>
      </c>
      <c r="K1" s="36" t="s">
        <v>8</v>
      </c>
      <c r="L1" s="36" t="s">
        <v>9</v>
      </c>
      <c r="M1" s="38" t="s">
        <v>10</v>
      </c>
    </row>
    <row r="2" spans="8:8" ht="17.0">
      <c r="A2" s="63">
        <v>6.0</v>
      </c>
      <c r="B2" s="64" t="s">
        <v>11</v>
      </c>
      <c r="C2" s="64" t="s">
        <v>77</v>
      </c>
      <c r="D2" s="64" t="s">
        <v>78</v>
      </c>
      <c r="E2" s="64" t="s">
        <v>79</v>
      </c>
      <c r="F2" s="65" t="s">
        <v>85</v>
      </c>
      <c r="G2" s="25">
        <v>90.0</v>
      </c>
      <c r="H2" s="25">
        <v>90.0</v>
      </c>
      <c r="I2" s="25">
        <v>90.0</v>
      </c>
      <c r="J2" s="25">
        <f>I2-H2</f>
        <v>0.0</v>
      </c>
      <c r="K2" s="25">
        <v>0.0</v>
      </c>
      <c r="L2" s="25">
        <f>G2-I2-K2</f>
        <v>0.0</v>
      </c>
      <c r="M2" s="25"/>
    </row>
    <row r="3" spans="8:8" ht="221.0">
      <c r="A3" s="63"/>
      <c r="B3" s="64" t="s">
        <v>11</v>
      </c>
      <c r="C3" s="64" t="s">
        <v>77</v>
      </c>
      <c r="D3" s="64" t="s">
        <v>78</v>
      </c>
      <c r="E3" s="64" t="s">
        <v>79</v>
      </c>
      <c r="F3" s="65" t="s">
        <v>86</v>
      </c>
      <c r="G3" s="25">
        <v>85.0</v>
      </c>
      <c r="H3" s="25">
        <v>90.0</v>
      </c>
      <c r="I3" s="25">
        <v>85.0</v>
      </c>
      <c r="J3" s="25">
        <f t="shared" si="0" ref="J3:J13">I3-H3</f>
        <v>-5.0</v>
      </c>
      <c r="K3" s="25">
        <v>0.0</v>
      </c>
      <c r="L3" s="25">
        <f t="shared" si="1" ref="L3:L13">G3-I3-K3</f>
        <v>0.0</v>
      </c>
      <c r="M3" s="25" t="s">
        <v>160</v>
      </c>
    </row>
    <row r="4" spans="8:8" ht="17.0">
      <c r="A4" s="63"/>
      <c r="B4" s="64" t="s">
        <v>11</v>
      </c>
      <c r="C4" s="64" t="s">
        <v>87</v>
      </c>
      <c r="D4" s="64" t="s">
        <v>88</v>
      </c>
      <c r="E4" s="64" t="s">
        <v>89</v>
      </c>
      <c r="F4" s="65" t="s">
        <v>90</v>
      </c>
      <c r="G4" s="25">
        <v>74.0</v>
      </c>
      <c r="H4" s="25">
        <v>90.0</v>
      </c>
      <c r="I4" s="25">
        <v>74.0</v>
      </c>
      <c r="J4" s="25">
        <f t="shared" si="0"/>
        <v>-16.0</v>
      </c>
      <c r="K4" s="25">
        <v>0.0</v>
      </c>
      <c r="L4" s="25">
        <f t="shared" si="1"/>
        <v>0.0</v>
      </c>
      <c r="M4" s="25"/>
    </row>
    <row r="5" spans="8:8" ht="17.0">
      <c r="A5" s="63"/>
      <c r="B5" s="64" t="s">
        <v>11</v>
      </c>
      <c r="C5" s="64" t="s">
        <v>87</v>
      </c>
      <c r="D5" s="64" t="s">
        <v>88</v>
      </c>
      <c r="E5" s="64" t="s">
        <v>89</v>
      </c>
      <c r="F5" s="65" t="s">
        <v>89</v>
      </c>
      <c r="G5" s="25">
        <v>420.0</v>
      </c>
      <c r="H5" s="25">
        <v>90.0</v>
      </c>
      <c r="I5" s="25">
        <v>90.0</v>
      </c>
      <c r="J5" s="25">
        <f t="shared" si="0"/>
        <v>0.0</v>
      </c>
      <c r="K5" s="25">
        <v>0.0</v>
      </c>
      <c r="L5" s="25">
        <f t="shared" si="1"/>
        <v>330.0</v>
      </c>
      <c r="M5" s="25"/>
    </row>
    <row r="6" spans="8:8" ht="34.0">
      <c r="A6" s="63"/>
      <c r="B6" s="64" t="s">
        <v>11</v>
      </c>
      <c r="C6" s="64" t="s">
        <v>87</v>
      </c>
      <c r="D6" s="64" t="s">
        <v>88</v>
      </c>
      <c r="E6" s="64" t="s">
        <v>89</v>
      </c>
      <c r="F6" s="65" t="s">
        <v>91</v>
      </c>
      <c r="G6" s="25">
        <v>191.0</v>
      </c>
      <c r="H6" s="25">
        <v>90.0</v>
      </c>
      <c r="I6" s="25">
        <v>90.0</v>
      </c>
      <c r="J6" s="25">
        <f t="shared" si="0"/>
        <v>0.0</v>
      </c>
      <c r="K6" s="25">
        <v>0.0</v>
      </c>
      <c r="L6" s="25">
        <f t="shared" si="1"/>
        <v>101.0</v>
      </c>
      <c r="M6" s="25" t="s">
        <v>167</v>
      </c>
    </row>
    <row r="7" spans="8:8" ht="17.0">
      <c r="A7" s="63"/>
      <c r="B7" s="64" t="s">
        <v>11</v>
      </c>
      <c r="C7" s="64" t="s">
        <v>87</v>
      </c>
      <c r="D7" s="64" t="s">
        <v>88</v>
      </c>
      <c r="E7" s="64" t="s">
        <v>89</v>
      </c>
      <c r="F7" s="65" t="s">
        <v>92</v>
      </c>
      <c r="G7" s="25">
        <v>160.0</v>
      </c>
      <c r="H7" s="25">
        <v>90.0</v>
      </c>
      <c r="I7" s="58"/>
      <c r="J7" s="25">
        <f t="shared" si="0"/>
        <v>-90.0</v>
      </c>
      <c r="K7" s="25"/>
      <c r="L7" s="25">
        <f t="shared" si="1"/>
        <v>160.0</v>
      </c>
      <c r="M7" s="25"/>
    </row>
    <row r="8" spans="8:8" ht="17.0">
      <c r="A8" s="63"/>
      <c r="B8" s="64" t="s">
        <v>11</v>
      </c>
      <c r="C8" s="64" t="s">
        <v>87</v>
      </c>
      <c r="D8" s="64" t="s">
        <v>88</v>
      </c>
      <c r="E8" s="64" t="s">
        <v>89</v>
      </c>
      <c r="F8" s="65" t="s">
        <v>93</v>
      </c>
      <c r="G8" s="25">
        <v>89.0</v>
      </c>
      <c r="H8" s="25">
        <v>90.0</v>
      </c>
      <c r="I8" s="25">
        <v>89.0</v>
      </c>
      <c r="J8" s="25">
        <f t="shared" si="0"/>
        <v>-1.0</v>
      </c>
      <c r="K8" s="25">
        <v>0.0</v>
      </c>
      <c r="L8" s="25">
        <f t="shared" si="1"/>
        <v>0.0</v>
      </c>
      <c r="M8" s="25"/>
    </row>
    <row r="9" spans="8:8" ht="17.0">
      <c r="A9" s="63"/>
      <c r="B9" s="64" t="s">
        <v>11</v>
      </c>
      <c r="C9" s="64" t="s">
        <v>87</v>
      </c>
      <c r="D9" s="64" t="s">
        <v>88</v>
      </c>
      <c r="E9" s="64" t="s">
        <v>89</v>
      </c>
      <c r="F9" s="65" t="s">
        <v>94</v>
      </c>
      <c r="G9" s="25">
        <v>87.0</v>
      </c>
      <c r="H9" s="25">
        <v>90.0</v>
      </c>
      <c r="I9" s="25">
        <v>87.0</v>
      </c>
      <c r="J9" s="25">
        <f t="shared" si="0"/>
        <v>-3.0</v>
      </c>
      <c r="K9" s="25">
        <v>0.0</v>
      </c>
      <c r="L9" s="25">
        <f t="shared" si="1"/>
        <v>0.0</v>
      </c>
      <c r="M9" s="25"/>
    </row>
    <row r="10" spans="8:8" ht="17.0">
      <c r="A10" s="63"/>
      <c r="B10" s="64" t="s">
        <v>11</v>
      </c>
      <c r="C10" s="64" t="s">
        <v>87</v>
      </c>
      <c r="D10" s="64" t="s">
        <v>88</v>
      </c>
      <c r="E10" s="64" t="s">
        <v>89</v>
      </c>
      <c r="F10" s="65" t="s">
        <v>95</v>
      </c>
      <c r="G10" s="25">
        <v>312.0</v>
      </c>
      <c r="H10" s="25">
        <v>90.0</v>
      </c>
      <c r="I10" s="25">
        <v>90.0</v>
      </c>
      <c r="J10" s="25">
        <f t="shared" si="0"/>
        <v>0.0</v>
      </c>
      <c r="K10" s="25">
        <v>0.0</v>
      </c>
      <c r="L10" s="25">
        <f t="shared" si="1"/>
        <v>222.0</v>
      </c>
      <c r="M10" s="25"/>
    </row>
    <row r="11" spans="8:8" ht="17.0">
      <c r="A11" s="63"/>
      <c r="B11" s="64" t="s">
        <v>11</v>
      </c>
      <c r="C11" s="64" t="s">
        <v>87</v>
      </c>
      <c r="D11" s="64" t="s">
        <v>88</v>
      </c>
      <c r="E11" s="64" t="s">
        <v>89</v>
      </c>
      <c r="F11" s="65" t="s">
        <v>96</v>
      </c>
      <c r="G11" s="25">
        <v>10.0</v>
      </c>
      <c r="H11" s="25">
        <v>90.0</v>
      </c>
      <c r="I11" s="25">
        <v>10.0</v>
      </c>
      <c r="J11" s="25">
        <f t="shared" si="0"/>
        <v>-80.0</v>
      </c>
      <c r="K11" s="25">
        <v>0.0</v>
      </c>
      <c r="L11" s="25">
        <f t="shared" si="1"/>
        <v>0.0</v>
      </c>
      <c r="M11" s="25"/>
    </row>
    <row r="12" spans="8:8" ht="21.65" customHeight="1">
      <c r="A12" s="63"/>
      <c r="B12" s="64" t="s">
        <v>11</v>
      </c>
      <c r="C12" s="64" t="s">
        <v>77</v>
      </c>
      <c r="D12" s="64" t="s">
        <v>78</v>
      </c>
      <c r="E12" s="64" t="s">
        <v>97</v>
      </c>
      <c r="F12" s="65" t="s">
        <v>98</v>
      </c>
      <c r="G12" s="25">
        <v>383.0</v>
      </c>
      <c r="H12" s="25">
        <v>90.0</v>
      </c>
      <c r="I12" s="58"/>
      <c r="J12" s="25">
        <f t="shared" si="0"/>
        <v>-90.0</v>
      </c>
      <c r="K12" s="25"/>
      <c r="L12" s="25">
        <f t="shared" si="1"/>
        <v>383.0</v>
      </c>
      <c r="M12" s="25"/>
    </row>
    <row r="13" spans="8:8" ht="17.0">
      <c r="A13" s="63"/>
      <c r="B13" s="64" t="s">
        <v>11</v>
      </c>
      <c r="C13" s="64" t="s">
        <v>77</v>
      </c>
      <c r="D13" s="64" t="s">
        <v>78</v>
      </c>
      <c r="E13" s="64" t="s">
        <v>97</v>
      </c>
      <c r="F13" s="65" t="s">
        <v>99</v>
      </c>
      <c r="G13" s="25">
        <v>656.0</v>
      </c>
      <c r="H13" s="25">
        <v>90.0</v>
      </c>
      <c r="I13" s="58"/>
      <c r="J13" s="25">
        <f t="shared" si="0"/>
        <v>-90.0</v>
      </c>
      <c r="K13" s="25"/>
      <c r="L13" s="25">
        <f t="shared" si="1"/>
        <v>656.0</v>
      </c>
      <c r="M13" s="25"/>
    </row>
    <row r="14" spans="8:8" ht="17.0">
      <c r="A14" s="50" t="s">
        <v>151</v>
      </c>
      <c r="B14" s="51"/>
      <c r="C14" s="51"/>
      <c r="D14" s="51"/>
      <c r="E14" s="51"/>
      <c r="F14" s="52"/>
      <c r="G14" s="25">
        <f>SUM(G2:G13)</f>
        <v>2557.0</v>
      </c>
      <c r="H14" s="25">
        <f t="shared" si="2" ref="H14:M14">SUM(H2:H13)</f>
        <v>1080.0</v>
      </c>
      <c r="I14" s="25">
        <f t="shared" si="2"/>
        <v>705.0</v>
      </c>
      <c r="J14" s="25">
        <f t="shared" si="2"/>
        <v>-375.0</v>
      </c>
      <c r="K14" s="25">
        <f t="shared" si="2"/>
        <v>0.0</v>
      </c>
      <c r="L14" s="25">
        <f t="shared" si="2"/>
        <v>1852.0</v>
      </c>
      <c r="M14" s="25">
        <f t="shared" si="2"/>
        <v>0.0</v>
      </c>
    </row>
  </sheetData>
  <mergeCells count="2">
    <mergeCell ref="A2:A13"/>
    <mergeCell ref="A14:F14"/>
  </mergeCells>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O14"/>
  <sheetViews>
    <sheetView workbookViewId="0" zoomScale="88">
      <selection activeCell="A2" sqref="A2:M13"/>
    </sheetView>
  </sheetViews>
  <sheetFormatPr defaultRowHeight="14.5" defaultColWidth="10"/>
  <cols>
    <col min="6" max="6" customWidth="1" width="19.179688" style="0"/>
  </cols>
  <sheetData>
    <row r="1" spans="8:8" ht="77.5">
      <c r="A1" s="34" t="s">
        <v>29</v>
      </c>
      <c r="B1" s="34" t="s">
        <v>30</v>
      </c>
      <c r="C1" s="35" t="s">
        <v>0</v>
      </c>
      <c r="D1" s="34" t="s">
        <v>1</v>
      </c>
      <c r="E1" s="34" t="s">
        <v>2</v>
      </c>
      <c r="F1" s="34" t="s">
        <v>3</v>
      </c>
      <c r="G1" s="66" t="s">
        <v>4</v>
      </c>
      <c r="H1" s="36" t="s">
        <v>5</v>
      </c>
      <c r="I1" s="36" t="s">
        <v>6</v>
      </c>
      <c r="J1" s="37" t="s">
        <v>7</v>
      </c>
      <c r="K1" s="36" t="s">
        <v>8</v>
      </c>
      <c r="L1" s="36" t="s">
        <v>9</v>
      </c>
      <c r="M1" s="38" t="s">
        <v>10</v>
      </c>
    </row>
    <row r="2" spans="8:8" ht="31.0">
      <c r="A2" s="39">
        <v>7.0</v>
      </c>
      <c r="B2" s="40" t="s">
        <v>11</v>
      </c>
      <c r="C2" s="40" t="s">
        <v>77</v>
      </c>
      <c r="D2" s="40" t="s">
        <v>78</v>
      </c>
      <c r="E2" s="40" t="s">
        <v>97</v>
      </c>
      <c r="F2" s="67" t="s">
        <v>100</v>
      </c>
      <c r="G2" s="68">
        <v>704.0</v>
      </c>
      <c r="H2" s="69">
        <v>90.0</v>
      </c>
      <c r="I2" s="70"/>
      <c r="J2" s="25">
        <f>I2-H2</f>
        <v>-90.0</v>
      </c>
      <c r="K2" s="70"/>
      <c r="L2" s="25">
        <f>G2-I2-K2</f>
        <v>704.0</v>
      </c>
      <c r="M2" s="57"/>
    </row>
    <row r="3" spans="8:8" ht="31.0">
      <c r="A3" s="39"/>
      <c r="B3" s="40" t="s">
        <v>11</v>
      </c>
      <c r="C3" s="40" t="s">
        <v>77</v>
      </c>
      <c r="D3" s="40" t="s">
        <v>78</v>
      </c>
      <c r="E3" s="40" t="s">
        <v>97</v>
      </c>
      <c r="F3" s="67" t="s">
        <v>101</v>
      </c>
      <c r="G3" s="68">
        <v>115.0</v>
      </c>
      <c r="H3" s="69">
        <v>90.0</v>
      </c>
      <c r="I3" s="71"/>
      <c r="J3" s="25">
        <f t="shared" si="0" ref="J3:J13">I3-H3</f>
        <v>-90.0</v>
      </c>
      <c r="K3" s="71"/>
      <c r="L3" s="25">
        <f t="shared" si="1" ref="L3:L13">G3-I3-K3</f>
        <v>115.0</v>
      </c>
      <c r="M3" s="57"/>
    </row>
    <row r="4" spans="8:8" ht="31.0">
      <c r="A4" s="39"/>
      <c r="B4" s="40" t="s">
        <v>11</v>
      </c>
      <c r="C4" s="40" t="s">
        <v>77</v>
      </c>
      <c r="D4" s="40" t="s">
        <v>102</v>
      </c>
      <c r="E4" s="40" t="s">
        <v>103</v>
      </c>
      <c r="F4" s="67" t="s">
        <v>104</v>
      </c>
      <c r="G4" s="68">
        <v>864.0</v>
      </c>
      <c r="H4" s="69">
        <v>90.0</v>
      </c>
      <c r="I4" s="71"/>
      <c r="J4" s="25">
        <f t="shared" si="0"/>
        <v>-90.0</v>
      </c>
      <c r="K4" s="71"/>
      <c r="L4" s="25">
        <f t="shared" si="1"/>
        <v>864.0</v>
      </c>
      <c r="M4" s="57"/>
    </row>
    <row r="5" spans="8:8" ht="31.0">
      <c r="A5" s="39"/>
      <c r="B5" s="40" t="s">
        <v>11</v>
      </c>
      <c r="C5" s="40" t="s">
        <v>77</v>
      </c>
      <c r="D5" s="40" t="s">
        <v>102</v>
      </c>
      <c r="E5" s="40" t="s">
        <v>103</v>
      </c>
      <c r="F5" s="67" t="s">
        <v>105</v>
      </c>
      <c r="G5" s="68">
        <v>876.0</v>
      </c>
      <c r="H5" s="69">
        <v>90.0</v>
      </c>
      <c r="I5" s="71"/>
      <c r="J5" s="25">
        <f t="shared" si="0"/>
        <v>-90.0</v>
      </c>
      <c r="K5" s="71"/>
      <c r="L5" s="25">
        <f t="shared" si="1"/>
        <v>876.0</v>
      </c>
      <c r="M5" s="57"/>
    </row>
    <row r="6" spans="8:8" ht="31.0">
      <c r="A6" s="39"/>
      <c r="B6" s="40" t="s">
        <v>11</v>
      </c>
      <c r="C6" s="40" t="s">
        <v>77</v>
      </c>
      <c r="D6" s="40" t="s">
        <v>102</v>
      </c>
      <c r="E6" s="40" t="s">
        <v>103</v>
      </c>
      <c r="F6" s="67" t="s">
        <v>106</v>
      </c>
      <c r="G6" s="68">
        <v>980.0</v>
      </c>
      <c r="H6" s="69">
        <v>90.0</v>
      </c>
      <c r="I6" s="71"/>
      <c r="J6" s="25">
        <f t="shared" si="0"/>
        <v>-90.0</v>
      </c>
      <c r="K6" s="71"/>
      <c r="L6" s="25">
        <f t="shared" si="1"/>
        <v>980.0</v>
      </c>
      <c r="M6" s="57"/>
    </row>
    <row r="7" spans="8:8" ht="31.0">
      <c r="A7" s="39"/>
      <c r="B7" s="40" t="s">
        <v>11</v>
      </c>
      <c r="C7" s="40" t="s">
        <v>77</v>
      </c>
      <c r="D7" s="40" t="s">
        <v>102</v>
      </c>
      <c r="E7" s="40" t="s">
        <v>103</v>
      </c>
      <c r="F7" s="67" t="s">
        <v>107</v>
      </c>
      <c r="G7" s="68">
        <v>377.0</v>
      </c>
      <c r="H7" s="69">
        <v>90.0</v>
      </c>
      <c r="I7" s="71"/>
      <c r="J7" s="25">
        <f t="shared" si="0"/>
        <v>-90.0</v>
      </c>
      <c r="K7" s="71"/>
      <c r="L7" s="25">
        <f t="shared" si="1"/>
        <v>377.0</v>
      </c>
      <c r="M7" s="57"/>
    </row>
    <row r="8" spans="8:8" ht="31.0">
      <c r="A8" s="39"/>
      <c r="B8" s="40" t="s">
        <v>11</v>
      </c>
      <c r="C8" s="40" t="s">
        <v>77</v>
      </c>
      <c r="D8" s="40" t="s">
        <v>102</v>
      </c>
      <c r="E8" s="40" t="s">
        <v>103</v>
      </c>
      <c r="F8" s="67" t="s">
        <v>108</v>
      </c>
      <c r="G8" s="68">
        <v>83.0</v>
      </c>
      <c r="H8" s="69">
        <v>90.0</v>
      </c>
      <c r="I8" s="71"/>
      <c r="J8" s="25">
        <f t="shared" si="0"/>
        <v>-90.0</v>
      </c>
      <c r="K8" s="71"/>
      <c r="L8" s="25">
        <f t="shared" si="1"/>
        <v>83.0</v>
      </c>
      <c r="M8" s="57"/>
    </row>
    <row r="9" spans="8:8" ht="31.0">
      <c r="A9" s="39"/>
      <c r="B9" s="40" t="s">
        <v>11</v>
      </c>
      <c r="C9" s="40" t="s">
        <v>77</v>
      </c>
      <c r="D9" s="40" t="s">
        <v>109</v>
      </c>
      <c r="E9" s="40" t="s">
        <v>110</v>
      </c>
      <c r="F9" s="67" t="s">
        <v>111</v>
      </c>
      <c r="G9" s="68">
        <v>191.0</v>
      </c>
      <c r="H9" s="69">
        <v>90.0</v>
      </c>
      <c r="I9" s="71"/>
      <c r="J9" s="25">
        <f t="shared" si="0"/>
        <v>-90.0</v>
      </c>
      <c r="K9" s="71"/>
      <c r="L9" s="25">
        <f t="shared" si="1"/>
        <v>191.0</v>
      </c>
      <c r="M9" s="57"/>
    </row>
    <row r="10" spans="8:8" ht="31.0">
      <c r="A10" s="39"/>
      <c r="B10" s="40" t="s">
        <v>11</v>
      </c>
      <c r="C10" s="40" t="s">
        <v>77</v>
      </c>
      <c r="D10" s="40" t="s">
        <v>109</v>
      </c>
      <c r="E10" s="40" t="s">
        <v>110</v>
      </c>
      <c r="F10" s="67" t="s">
        <v>112</v>
      </c>
      <c r="G10" s="68">
        <v>108.0</v>
      </c>
      <c r="H10" s="69">
        <v>90.0</v>
      </c>
      <c r="I10" s="71"/>
      <c r="J10" s="25">
        <f t="shared" si="0"/>
        <v>-90.0</v>
      </c>
      <c r="K10" s="71"/>
      <c r="L10" s="25">
        <f t="shared" si="1"/>
        <v>108.0</v>
      </c>
      <c r="M10" s="57"/>
    </row>
    <row r="11" spans="8:8" ht="31.0">
      <c r="A11" s="39"/>
      <c r="B11" s="40" t="s">
        <v>11</v>
      </c>
      <c r="C11" s="40" t="s">
        <v>77</v>
      </c>
      <c r="D11" s="40" t="s">
        <v>109</v>
      </c>
      <c r="E11" s="40" t="s">
        <v>110</v>
      </c>
      <c r="F11" s="67" t="s">
        <v>113</v>
      </c>
      <c r="G11" s="68">
        <v>142.0</v>
      </c>
      <c r="H11" s="69">
        <v>90.0</v>
      </c>
      <c r="I11" s="71"/>
      <c r="J11" s="25">
        <f t="shared" si="0"/>
        <v>-90.0</v>
      </c>
      <c r="K11" s="71"/>
      <c r="L11" s="25">
        <f t="shared" si="1"/>
        <v>142.0</v>
      </c>
      <c r="M11" s="57"/>
    </row>
    <row r="12" spans="8:8" ht="31.0">
      <c r="A12" s="39"/>
      <c r="B12" s="40" t="s">
        <v>11</v>
      </c>
      <c r="C12" s="40" t="s">
        <v>77</v>
      </c>
      <c r="D12" s="40" t="s">
        <v>109</v>
      </c>
      <c r="E12" s="40" t="s">
        <v>110</v>
      </c>
      <c r="F12" s="67" t="s">
        <v>114</v>
      </c>
      <c r="G12" s="68">
        <v>193.0</v>
      </c>
      <c r="H12" s="69">
        <v>90.0</v>
      </c>
      <c r="I12" s="71"/>
      <c r="J12" s="25">
        <f t="shared" si="0"/>
        <v>-90.0</v>
      </c>
      <c r="K12" s="71"/>
      <c r="L12" s="25">
        <f t="shared" si="1"/>
        <v>193.0</v>
      </c>
      <c r="M12" s="57"/>
    </row>
    <row r="13" spans="8:8" ht="31.0">
      <c r="A13" s="39"/>
      <c r="B13" s="40" t="s">
        <v>11</v>
      </c>
      <c r="C13" s="40" t="s">
        <v>77</v>
      </c>
      <c r="D13" s="40" t="s">
        <v>109</v>
      </c>
      <c r="E13" s="40" t="s">
        <v>110</v>
      </c>
      <c r="F13" s="67" t="s">
        <v>115</v>
      </c>
      <c r="G13" s="68">
        <v>105.0</v>
      </c>
      <c r="H13" s="69">
        <v>90.0</v>
      </c>
      <c r="I13" s="71"/>
      <c r="J13" s="25">
        <f t="shared" si="0"/>
        <v>-90.0</v>
      </c>
      <c r="K13" s="71"/>
      <c r="L13" s="25">
        <f t="shared" si="1"/>
        <v>105.0</v>
      </c>
      <c r="M13" s="57"/>
    </row>
    <row r="14" spans="8:8" ht="18.0">
      <c r="A14" s="72" t="s">
        <v>151</v>
      </c>
      <c r="B14" s="73"/>
      <c r="C14" s="73"/>
      <c r="D14" s="73"/>
      <c r="E14" s="73"/>
      <c r="F14" s="74"/>
      <c r="G14" s="75">
        <f>SUM(G2:G13)</f>
        <v>4738.0</v>
      </c>
      <c r="H14" s="75">
        <f t="shared" si="2" ref="H14:M14">SUM(H2:H13)</f>
        <v>1080.0</v>
      </c>
      <c r="I14" s="75">
        <f>SUM(I2:I13)</f>
        <v>0.0</v>
      </c>
      <c r="J14" s="75">
        <f t="shared" si="2"/>
        <v>-1080.0</v>
      </c>
      <c r="K14" s="75">
        <f t="shared" si="2"/>
        <v>0.0</v>
      </c>
      <c r="L14" s="75">
        <f t="shared" si="2"/>
        <v>4738.0</v>
      </c>
      <c r="M14" s="75">
        <f t="shared" si="2"/>
        <v>0.0</v>
      </c>
    </row>
  </sheetData>
  <mergeCells count="2">
    <mergeCell ref="A2:A13"/>
    <mergeCell ref="A14:F14"/>
  </mergeCells>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O14"/>
  <sheetViews>
    <sheetView workbookViewId="0">
      <selection activeCell="A2" sqref="A2:M13"/>
    </sheetView>
  </sheetViews>
  <sheetFormatPr defaultRowHeight="14.5" defaultColWidth="10"/>
  <cols>
    <col min="5" max="5" customWidth="1" width="21.269531" style="0"/>
    <col min="6" max="6" customWidth="1" width="17.726562" style="0"/>
    <col min="13" max="13" customWidth="1" width="16.726562" style="0"/>
    <col min="14" max="14" customWidth="1" width="31.0" style="0"/>
  </cols>
  <sheetData>
    <row r="1" spans="8:8" ht="77.5">
      <c r="A1" s="34" t="s">
        <v>29</v>
      </c>
      <c r="B1" s="34" t="s">
        <v>30</v>
      </c>
      <c r="C1" s="35" t="s">
        <v>0</v>
      </c>
      <c r="D1" s="34" t="s">
        <v>1</v>
      </c>
      <c r="E1" s="34" t="s">
        <v>2</v>
      </c>
      <c r="F1" s="34" t="s">
        <v>3</v>
      </c>
      <c r="G1" s="66" t="s">
        <v>4</v>
      </c>
      <c r="H1" s="36" t="s">
        <v>5</v>
      </c>
      <c r="I1" s="36" t="s">
        <v>6</v>
      </c>
      <c r="J1" s="37" t="s">
        <v>7</v>
      </c>
      <c r="K1" s="36" t="s">
        <v>8</v>
      </c>
      <c r="L1" s="36" t="s">
        <v>9</v>
      </c>
      <c r="M1" s="38" t="s">
        <v>10</v>
      </c>
    </row>
    <row r="2" spans="8:8" ht="170.0">
      <c r="A2" s="76">
        <v>8.0</v>
      </c>
      <c r="B2" s="47" t="s">
        <v>11</v>
      </c>
      <c r="C2" s="47" t="s">
        <v>77</v>
      </c>
      <c r="D2" s="47" t="s">
        <v>109</v>
      </c>
      <c r="E2" s="47" t="s">
        <v>110</v>
      </c>
      <c r="F2" s="77" t="s">
        <v>116</v>
      </c>
      <c r="G2" s="68">
        <v>217.0</v>
      </c>
      <c r="H2" s="69">
        <v>90.0</v>
      </c>
      <c r="I2" s="25">
        <v>90.0</v>
      </c>
      <c r="J2" s="25">
        <f>I2-H2</f>
        <v>0.0</v>
      </c>
      <c r="K2" s="25">
        <v>0.0</v>
      </c>
      <c r="L2" s="25">
        <f>G2-I2-K2</f>
        <v>127.0</v>
      </c>
      <c r="M2" s="25" t="s">
        <v>153</v>
      </c>
    </row>
    <row r="3" spans="8:8" ht="18.0">
      <c r="A3" s="76"/>
      <c r="B3" s="47" t="s">
        <v>11</v>
      </c>
      <c r="C3" s="47" t="s">
        <v>77</v>
      </c>
      <c r="D3" s="47" t="s">
        <v>109</v>
      </c>
      <c r="E3" s="47" t="s">
        <v>110</v>
      </c>
      <c r="F3" s="77" t="s">
        <v>117</v>
      </c>
      <c r="G3" s="68">
        <v>33.0</v>
      </c>
      <c r="H3" s="69">
        <v>90.0</v>
      </c>
      <c r="I3" s="25">
        <v>33.0</v>
      </c>
      <c r="J3" s="25">
        <f t="shared" si="0" ref="J3:J13">I3-H3</f>
        <v>-57.0</v>
      </c>
      <c r="K3" s="25">
        <v>0.0</v>
      </c>
      <c r="L3" s="25">
        <f t="shared" si="1" ref="L3:L13">G3-I3-K3</f>
        <v>0.0</v>
      </c>
      <c r="M3" s="25"/>
    </row>
    <row r="4" spans="8:8" ht="35.5" customHeight="1">
      <c r="A4" s="76"/>
      <c r="B4" s="47" t="s">
        <v>11</v>
      </c>
      <c r="C4" s="47" t="s">
        <v>77</v>
      </c>
      <c r="D4" s="47" t="s">
        <v>109</v>
      </c>
      <c r="E4" s="47" t="s">
        <v>110</v>
      </c>
      <c r="F4" s="77" t="s">
        <v>118</v>
      </c>
      <c r="G4" s="68">
        <v>111.0</v>
      </c>
      <c r="H4" s="69">
        <v>90.0</v>
      </c>
      <c r="I4" s="25">
        <v>90.0</v>
      </c>
      <c r="J4" s="25">
        <f t="shared" si="0"/>
        <v>0.0</v>
      </c>
      <c r="K4" s="25">
        <v>4.0</v>
      </c>
      <c r="L4" s="25">
        <f t="shared" si="1"/>
        <v>17.0</v>
      </c>
      <c r="M4" s="25" t="s">
        <v>164</v>
      </c>
    </row>
    <row r="5" spans="8:8" ht="18.0">
      <c r="A5" s="76"/>
      <c r="B5" s="47" t="s">
        <v>11</v>
      </c>
      <c r="C5" s="47" t="s">
        <v>77</v>
      </c>
      <c r="D5" s="47" t="s">
        <v>109</v>
      </c>
      <c r="E5" s="47" t="s">
        <v>110</v>
      </c>
      <c r="F5" s="77" t="s">
        <v>119</v>
      </c>
      <c r="G5" s="68">
        <v>122.0</v>
      </c>
      <c r="H5" s="69">
        <v>90.0</v>
      </c>
      <c r="I5" s="25">
        <v>90.0</v>
      </c>
      <c r="J5" s="25">
        <f t="shared" si="0"/>
        <v>0.0</v>
      </c>
      <c r="K5" s="25">
        <v>4.0</v>
      </c>
      <c r="L5" s="25">
        <f t="shared" si="1"/>
        <v>28.0</v>
      </c>
      <c r="M5" s="25"/>
    </row>
    <row r="6" spans="8:8" ht="18.0">
      <c r="A6" s="76"/>
      <c r="B6" s="47" t="s">
        <v>11</v>
      </c>
      <c r="C6" s="47" t="s">
        <v>77</v>
      </c>
      <c r="D6" s="47" t="s">
        <v>109</v>
      </c>
      <c r="E6" s="47" t="s">
        <v>110</v>
      </c>
      <c r="F6" s="77" t="s">
        <v>120</v>
      </c>
      <c r="G6" s="68">
        <v>453.0</v>
      </c>
      <c r="H6" s="69">
        <v>90.0</v>
      </c>
      <c r="I6" s="25">
        <v>90.0</v>
      </c>
      <c r="J6" s="25">
        <f t="shared" si="0"/>
        <v>0.0</v>
      </c>
      <c r="K6" s="25">
        <v>0.0</v>
      </c>
      <c r="L6" s="25">
        <f>G6-I6-K6</f>
        <v>363.0</v>
      </c>
      <c r="M6" s="25"/>
    </row>
    <row r="7" spans="8:8" ht="18.0">
      <c r="A7" s="76"/>
      <c r="B7" s="47" t="s">
        <v>11</v>
      </c>
      <c r="C7" s="47" t="s">
        <v>77</v>
      </c>
      <c r="D7" s="47" t="s">
        <v>109</v>
      </c>
      <c r="E7" s="47" t="s">
        <v>110</v>
      </c>
      <c r="F7" s="77" t="s">
        <v>121</v>
      </c>
      <c r="G7" s="68">
        <v>119.0</v>
      </c>
      <c r="H7" s="69">
        <v>90.0</v>
      </c>
      <c r="I7" s="25">
        <v>90.0</v>
      </c>
      <c r="J7" s="25">
        <f t="shared" si="0"/>
        <v>0.0</v>
      </c>
      <c r="K7" s="25">
        <v>1.0</v>
      </c>
      <c r="L7" s="25">
        <f t="shared" si="1"/>
        <v>28.0</v>
      </c>
      <c r="M7" s="25"/>
    </row>
    <row r="8" spans="8:8" ht="18.0">
      <c r="A8" s="76"/>
      <c r="B8" s="47" t="s">
        <v>11</v>
      </c>
      <c r="C8" s="47" t="s">
        <v>77</v>
      </c>
      <c r="D8" s="47" t="s">
        <v>109</v>
      </c>
      <c r="E8" s="47" t="s">
        <v>110</v>
      </c>
      <c r="F8" s="77" t="s">
        <v>122</v>
      </c>
      <c r="G8" s="68">
        <v>83.0</v>
      </c>
      <c r="H8" s="69">
        <v>90.0</v>
      </c>
      <c r="I8" s="25">
        <v>80.0</v>
      </c>
      <c r="J8" s="25">
        <f t="shared" si="0"/>
        <v>-10.0</v>
      </c>
      <c r="K8" s="25">
        <v>3.0</v>
      </c>
      <c r="L8" s="25">
        <f t="shared" si="1"/>
        <v>0.0</v>
      </c>
      <c r="M8" s="25"/>
    </row>
    <row r="9" spans="8:8" ht="18.0">
      <c r="A9" s="76"/>
      <c r="B9" s="47" t="s">
        <v>11</v>
      </c>
      <c r="C9" s="47" t="s">
        <v>77</v>
      </c>
      <c r="D9" s="47" t="s">
        <v>109</v>
      </c>
      <c r="E9" s="47" t="s">
        <v>110</v>
      </c>
      <c r="F9" s="77" t="s">
        <v>123</v>
      </c>
      <c r="G9" s="68">
        <v>310.0</v>
      </c>
      <c r="H9" s="69">
        <v>90.0</v>
      </c>
      <c r="I9" s="25">
        <v>90.0</v>
      </c>
      <c r="J9" s="25">
        <f t="shared" si="0"/>
        <v>0.0</v>
      </c>
      <c r="K9" s="25">
        <v>0.0</v>
      </c>
      <c r="L9" s="25">
        <f t="shared" si="1"/>
        <v>220.0</v>
      </c>
      <c r="M9" s="25"/>
    </row>
    <row r="10" spans="8:8" ht="18.0">
      <c r="A10" s="76"/>
      <c r="B10" s="47" t="s">
        <v>11</v>
      </c>
      <c r="C10" s="47" t="s">
        <v>77</v>
      </c>
      <c r="D10" s="47" t="s">
        <v>124</v>
      </c>
      <c r="E10" s="78" t="s">
        <v>125</v>
      </c>
      <c r="F10" s="77" t="s">
        <v>126</v>
      </c>
      <c r="G10" s="68">
        <v>167.0</v>
      </c>
      <c r="H10" s="69">
        <v>90.0</v>
      </c>
      <c r="I10" s="25">
        <v>90.0</v>
      </c>
      <c r="J10" s="25">
        <f t="shared" si="0"/>
        <v>0.0</v>
      </c>
      <c r="K10" s="25">
        <v>1.0</v>
      </c>
      <c r="L10" s="25">
        <f t="shared" si="1"/>
        <v>76.0</v>
      </c>
      <c r="M10" s="25"/>
    </row>
    <row r="11" spans="8:8" ht="18.0">
      <c r="A11" s="76"/>
      <c r="B11" s="47" t="s">
        <v>11</v>
      </c>
      <c r="C11" s="47" t="s">
        <v>77</v>
      </c>
      <c r="D11" s="47" t="s">
        <v>124</v>
      </c>
      <c r="E11" s="78" t="s">
        <v>125</v>
      </c>
      <c r="F11" s="77" t="s">
        <v>127</v>
      </c>
      <c r="G11" s="68">
        <v>257.0</v>
      </c>
      <c r="H11" s="69">
        <v>90.0</v>
      </c>
      <c r="I11" s="25">
        <v>90.0</v>
      </c>
      <c r="J11" s="25">
        <f t="shared" si="0"/>
        <v>0.0</v>
      </c>
      <c r="K11" s="25">
        <v>0.0</v>
      </c>
      <c r="L11" s="25">
        <f t="shared" si="1"/>
        <v>167.0</v>
      </c>
      <c r="M11" s="25"/>
    </row>
    <row r="12" spans="8:8" ht="18.0">
      <c r="A12" s="76"/>
      <c r="B12" s="47" t="s">
        <v>11</v>
      </c>
      <c r="C12" s="47" t="s">
        <v>128</v>
      </c>
      <c r="D12" s="47" t="s">
        <v>129</v>
      </c>
      <c r="E12" s="47" t="s">
        <v>130</v>
      </c>
      <c r="F12" s="77" t="s">
        <v>131</v>
      </c>
      <c r="G12" s="68">
        <v>444.0</v>
      </c>
      <c r="H12" s="69">
        <v>90.0</v>
      </c>
      <c r="I12" s="58"/>
      <c r="J12" s="25">
        <f t="shared" si="0"/>
        <v>-90.0</v>
      </c>
      <c r="K12" s="25"/>
      <c r="L12" s="25">
        <f t="shared" si="1"/>
        <v>444.0</v>
      </c>
      <c r="M12" s="25"/>
    </row>
    <row r="13" spans="8:8" ht="18.0">
      <c r="A13" s="76"/>
      <c r="B13" s="47" t="s">
        <v>11</v>
      </c>
      <c r="C13" s="47" t="s">
        <v>128</v>
      </c>
      <c r="D13" s="47" t="s">
        <v>129</v>
      </c>
      <c r="E13" s="47" t="s">
        <v>130</v>
      </c>
      <c r="F13" s="77" t="s">
        <v>132</v>
      </c>
      <c r="G13" s="68">
        <v>110.0</v>
      </c>
      <c r="H13" s="69">
        <v>90.0</v>
      </c>
      <c r="I13" s="25">
        <v>90.0</v>
      </c>
      <c r="J13" s="25">
        <f t="shared" si="0"/>
        <v>0.0</v>
      </c>
      <c r="K13" s="25">
        <v>3.0</v>
      </c>
      <c r="L13" s="25">
        <f t="shared" si="1"/>
        <v>17.0</v>
      </c>
      <c r="M13" s="25"/>
    </row>
    <row r="14" spans="8:8" ht="18.0">
      <c r="A14" s="72" t="s">
        <v>151</v>
      </c>
      <c r="B14" s="73"/>
      <c r="C14" s="73"/>
      <c r="D14" s="73"/>
      <c r="E14" s="73"/>
      <c r="F14" s="74"/>
      <c r="G14" s="75">
        <f>SUM(G2:G13)</f>
        <v>2426.0</v>
      </c>
      <c r="H14" s="75">
        <f t="shared" si="2" ref="H14:M14">SUM(H2:H13)</f>
        <v>1080.0</v>
      </c>
      <c r="I14" s="75">
        <f t="shared" si="2"/>
        <v>923.0</v>
      </c>
      <c r="J14" s="75">
        <f t="shared" si="2"/>
        <v>-157.0</v>
      </c>
      <c r="K14" s="75">
        <f t="shared" si="2"/>
        <v>16.0</v>
      </c>
      <c r="L14" s="75">
        <f t="shared" si="2"/>
        <v>1487.0</v>
      </c>
      <c r="M14" s="75">
        <f t="shared" si="2"/>
        <v>0.0</v>
      </c>
    </row>
  </sheetData>
  <mergeCells count="2">
    <mergeCell ref="A2:A13"/>
    <mergeCell ref="A14:F14"/>
  </mergeCells>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O14"/>
  <sheetViews>
    <sheetView workbookViewId="0">
      <selection activeCell="A2" sqref="A2:M13"/>
    </sheetView>
  </sheetViews>
  <sheetFormatPr defaultRowHeight="15.65" customHeight="1" defaultColWidth="10"/>
  <cols>
    <col min="3" max="3" customWidth="1" width="14.453125" style="0"/>
    <col min="6" max="6" customWidth="1" width="18.0" style="0"/>
  </cols>
  <sheetData>
    <row r="1" spans="8:8" ht="15.65" customHeight="1">
      <c r="A1" s="34" t="s">
        <v>29</v>
      </c>
      <c r="B1" s="34" t="s">
        <v>30</v>
      </c>
      <c r="C1" s="35" t="s">
        <v>0</v>
      </c>
      <c r="D1" s="34" t="s">
        <v>1</v>
      </c>
      <c r="E1" s="34" t="s">
        <v>2</v>
      </c>
      <c r="F1" s="34" t="s">
        <v>3</v>
      </c>
      <c r="G1" s="35" t="s">
        <v>4</v>
      </c>
      <c r="H1" s="36" t="s">
        <v>5</v>
      </c>
      <c r="I1" s="36" t="s">
        <v>6</v>
      </c>
      <c r="J1" s="37" t="s">
        <v>7</v>
      </c>
      <c r="K1" s="36" t="s">
        <v>8</v>
      </c>
      <c r="L1" s="36" t="s">
        <v>9</v>
      </c>
      <c r="M1" s="38" t="s">
        <v>10</v>
      </c>
    </row>
    <row r="2" spans="8:8" ht="15.65" customHeight="1">
      <c r="A2" s="79">
        <v>9.0</v>
      </c>
      <c r="B2" s="80" t="s">
        <v>11</v>
      </c>
      <c r="C2" s="80" t="s">
        <v>128</v>
      </c>
      <c r="D2" s="80" t="s">
        <v>129</v>
      </c>
      <c r="E2" s="80" t="s">
        <v>130</v>
      </c>
      <c r="F2" s="81" t="s">
        <v>133</v>
      </c>
      <c r="G2" s="25">
        <v>68.0</v>
      </c>
      <c r="H2" s="25">
        <v>90.0</v>
      </c>
      <c r="I2" s="56">
        <v>66.0</v>
      </c>
      <c r="J2" s="25">
        <f>I2-H2</f>
        <v>-24.0</v>
      </c>
      <c r="K2" s="56">
        <v>0.0</v>
      </c>
      <c r="L2" s="25">
        <f>G2-I2-K2</f>
        <v>2.0</v>
      </c>
      <c r="M2" s="57" t="s">
        <v>158</v>
      </c>
    </row>
    <row r="3" spans="8:8" ht="15.65" customHeight="1">
      <c r="A3" s="79"/>
      <c r="B3" s="80" t="s">
        <v>11</v>
      </c>
      <c r="C3" s="80" t="s">
        <v>128</v>
      </c>
      <c r="D3" s="80" t="s">
        <v>129</v>
      </c>
      <c r="E3" s="80" t="s">
        <v>130</v>
      </c>
      <c r="F3" s="81" t="s">
        <v>134</v>
      </c>
      <c r="G3" s="25">
        <v>137.0</v>
      </c>
      <c r="H3" s="25">
        <v>90.0</v>
      </c>
      <c r="I3" s="25">
        <v>90.0</v>
      </c>
      <c r="J3" s="25">
        <f t="shared" si="0" ref="J3:J13">I3-H3</f>
        <v>0.0</v>
      </c>
      <c r="K3" s="25">
        <v>1.0</v>
      </c>
      <c r="L3" s="25">
        <f t="shared" si="1" ref="L3:L13">G3-I3-K3</f>
        <v>46.0</v>
      </c>
      <c r="M3" s="25"/>
    </row>
    <row r="4" spans="8:8" ht="15.65" customHeight="1">
      <c r="A4" s="79"/>
      <c r="B4" s="80" t="s">
        <v>11</v>
      </c>
      <c r="C4" s="80" t="s">
        <v>128</v>
      </c>
      <c r="D4" s="80" t="s">
        <v>129</v>
      </c>
      <c r="E4" s="80" t="s">
        <v>130</v>
      </c>
      <c r="F4" s="81" t="s">
        <v>135</v>
      </c>
      <c r="G4" s="25">
        <v>128.0</v>
      </c>
      <c r="H4" s="25">
        <v>90.0</v>
      </c>
      <c r="I4" s="25">
        <v>90.0</v>
      </c>
      <c r="J4" s="25">
        <f t="shared" si="0"/>
        <v>0.0</v>
      </c>
      <c r="K4" s="25">
        <v>6.0</v>
      </c>
      <c r="L4" s="25">
        <f t="shared" si="1"/>
        <v>32.0</v>
      </c>
      <c r="M4" s="25"/>
    </row>
    <row r="5" spans="8:8" ht="15.65" customHeight="1">
      <c r="A5" s="79"/>
      <c r="B5" s="80" t="s">
        <v>11</v>
      </c>
      <c r="C5" s="80" t="s">
        <v>128</v>
      </c>
      <c r="D5" s="80" t="s">
        <v>129</v>
      </c>
      <c r="E5" s="80" t="s">
        <v>130</v>
      </c>
      <c r="F5" s="81" t="s">
        <v>136</v>
      </c>
      <c r="G5" s="25">
        <v>69.0</v>
      </c>
      <c r="H5" s="25">
        <v>90.0</v>
      </c>
      <c r="I5" s="25">
        <v>68.0</v>
      </c>
      <c r="J5" s="25">
        <f t="shared" si="0"/>
        <v>-22.0</v>
      </c>
      <c r="K5" s="25">
        <v>0.0</v>
      </c>
      <c r="L5" s="25">
        <f t="shared" si="1"/>
        <v>1.0</v>
      </c>
      <c r="M5" s="25" t="s">
        <v>159</v>
      </c>
    </row>
    <row r="6" spans="8:8" ht="15.65" customHeight="1">
      <c r="A6" s="79"/>
      <c r="B6" s="80" t="s">
        <v>11</v>
      </c>
      <c r="C6" s="80" t="s">
        <v>137</v>
      </c>
      <c r="D6" s="80" t="s">
        <v>138</v>
      </c>
      <c r="E6" s="80" t="s">
        <v>139</v>
      </c>
      <c r="F6" s="81" t="s">
        <v>140</v>
      </c>
      <c r="G6" s="25">
        <v>144.0</v>
      </c>
      <c r="H6" s="25">
        <v>90.0</v>
      </c>
      <c r="I6" s="25">
        <v>90.0</v>
      </c>
      <c r="J6" s="25">
        <f t="shared" si="0"/>
        <v>0.0</v>
      </c>
      <c r="K6" s="25">
        <v>7.0</v>
      </c>
      <c r="L6" s="25">
        <f t="shared" si="1"/>
        <v>47.0</v>
      </c>
      <c r="M6" s="25"/>
    </row>
    <row r="7" spans="8:8" ht="15.65" customHeight="1">
      <c r="A7" s="79"/>
      <c r="B7" s="80" t="s">
        <v>11</v>
      </c>
      <c r="C7" s="80" t="s">
        <v>137</v>
      </c>
      <c r="D7" s="80" t="s">
        <v>138</v>
      </c>
      <c r="E7" s="80" t="s">
        <v>139</v>
      </c>
      <c r="F7" s="81" t="s">
        <v>141</v>
      </c>
      <c r="G7" s="25">
        <v>345.0</v>
      </c>
      <c r="H7" s="25">
        <v>90.0</v>
      </c>
      <c r="I7" s="25">
        <v>90.0</v>
      </c>
      <c r="J7" s="25">
        <f t="shared" si="0"/>
        <v>0.0</v>
      </c>
      <c r="K7" s="25">
        <v>3.0</v>
      </c>
      <c r="L7" s="25">
        <f t="shared" si="1"/>
        <v>252.0</v>
      </c>
      <c r="M7" s="25"/>
    </row>
    <row r="8" spans="8:8" ht="15.65" customHeight="1">
      <c r="A8" s="79"/>
      <c r="B8" s="80" t="s">
        <v>11</v>
      </c>
      <c r="C8" s="80" t="s">
        <v>137</v>
      </c>
      <c r="D8" s="80" t="s">
        <v>138</v>
      </c>
      <c r="E8" s="80" t="s">
        <v>139</v>
      </c>
      <c r="F8" s="81" t="s">
        <v>142</v>
      </c>
      <c r="G8" s="25">
        <v>244.0</v>
      </c>
      <c r="H8" s="25">
        <v>90.0</v>
      </c>
      <c r="I8" s="25">
        <v>90.0</v>
      </c>
      <c r="J8" s="25">
        <f t="shared" si="0"/>
        <v>0.0</v>
      </c>
      <c r="K8" s="25">
        <v>0.0</v>
      </c>
      <c r="L8" s="25">
        <f t="shared" si="1"/>
        <v>154.0</v>
      </c>
      <c r="M8" s="25"/>
    </row>
    <row r="9" spans="8:8" ht="15.65" customHeight="1">
      <c r="A9" s="79"/>
      <c r="B9" s="80" t="s">
        <v>11</v>
      </c>
      <c r="C9" s="80" t="s">
        <v>137</v>
      </c>
      <c r="D9" s="80" t="s">
        <v>138</v>
      </c>
      <c r="E9" s="80" t="s">
        <v>139</v>
      </c>
      <c r="F9" s="81" t="s">
        <v>143</v>
      </c>
      <c r="G9" s="25">
        <v>136.0</v>
      </c>
      <c r="H9" s="25">
        <v>90.0</v>
      </c>
      <c r="I9" s="25">
        <v>90.0</v>
      </c>
      <c r="J9" s="25">
        <f t="shared" si="0"/>
        <v>0.0</v>
      </c>
      <c r="K9" s="25">
        <v>5.0</v>
      </c>
      <c r="L9" s="25">
        <f t="shared" si="1"/>
        <v>41.0</v>
      </c>
      <c r="M9" s="25"/>
    </row>
    <row r="10" spans="8:8" ht="15.65" customHeight="1">
      <c r="A10" s="79"/>
      <c r="B10" s="80" t="s">
        <v>11</v>
      </c>
      <c r="C10" s="80" t="s">
        <v>137</v>
      </c>
      <c r="D10" s="80" t="s">
        <v>138</v>
      </c>
      <c r="E10" s="80" t="s">
        <v>139</v>
      </c>
      <c r="F10" s="81" t="s">
        <v>144</v>
      </c>
      <c r="G10" s="25">
        <v>244.0</v>
      </c>
      <c r="H10" s="25">
        <v>90.0</v>
      </c>
      <c r="I10" s="25">
        <v>90.0</v>
      </c>
      <c r="J10" s="25">
        <f t="shared" si="0"/>
        <v>0.0</v>
      </c>
      <c r="K10" s="25">
        <v>3.0</v>
      </c>
      <c r="L10" s="25">
        <f t="shared" si="1"/>
        <v>151.0</v>
      </c>
      <c r="M10" s="25"/>
    </row>
    <row r="11" spans="8:8" ht="15.65" customHeight="1">
      <c r="A11" s="79"/>
      <c r="B11" s="80" t="s">
        <v>11</v>
      </c>
      <c r="C11" s="80" t="s">
        <v>137</v>
      </c>
      <c r="D11" s="80" t="s">
        <v>138</v>
      </c>
      <c r="E11" s="80" t="s">
        <v>139</v>
      </c>
      <c r="F11" s="81" t="s">
        <v>145</v>
      </c>
      <c r="G11" s="25">
        <v>351.0</v>
      </c>
      <c r="H11" s="25">
        <v>90.0</v>
      </c>
      <c r="I11" s="25">
        <v>90.0</v>
      </c>
      <c r="J11" s="25">
        <f t="shared" si="0"/>
        <v>0.0</v>
      </c>
      <c r="K11" s="25">
        <v>3.0</v>
      </c>
      <c r="L11" s="25">
        <f t="shared" si="1"/>
        <v>258.0</v>
      </c>
      <c r="M11" s="25"/>
    </row>
    <row r="12" spans="8:8" ht="15.65" customHeight="1">
      <c r="A12" s="79"/>
      <c r="B12" s="80" t="s">
        <v>11</v>
      </c>
      <c r="C12" s="80" t="s">
        <v>137</v>
      </c>
      <c r="D12" s="80" t="s">
        <v>146</v>
      </c>
      <c r="E12" s="80" t="s">
        <v>147</v>
      </c>
      <c r="F12" s="81" t="s">
        <v>148</v>
      </c>
      <c r="G12" s="25">
        <v>156.0</v>
      </c>
      <c r="H12" s="25">
        <v>90.0</v>
      </c>
      <c r="I12" s="25">
        <v>90.0</v>
      </c>
      <c r="J12" s="25">
        <f t="shared" si="0"/>
        <v>0.0</v>
      </c>
      <c r="K12" s="25">
        <v>2.0</v>
      </c>
      <c r="L12" s="25">
        <f t="shared" si="1"/>
        <v>64.0</v>
      </c>
      <c r="M12" s="25"/>
    </row>
    <row r="13" spans="8:8" ht="15.65" customHeight="1">
      <c r="A13" s="79"/>
      <c r="B13" s="80" t="s">
        <v>11</v>
      </c>
      <c r="C13" s="80" t="s">
        <v>137</v>
      </c>
      <c r="D13" s="80" t="s">
        <v>146</v>
      </c>
      <c r="E13" s="80" t="s">
        <v>147</v>
      </c>
      <c r="F13" s="81" t="s">
        <v>149</v>
      </c>
      <c r="G13" s="25">
        <v>114.0</v>
      </c>
      <c r="H13" s="25">
        <v>90.0</v>
      </c>
      <c r="I13" s="25">
        <v>90.0</v>
      </c>
      <c r="J13" s="25">
        <f t="shared" si="0"/>
        <v>0.0</v>
      </c>
      <c r="K13" s="25">
        <v>7.0</v>
      </c>
      <c r="L13" s="25">
        <f t="shared" si="1"/>
        <v>17.0</v>
      </c>
      <c r="M13" s="25"/>
    </row>
    <row r="14" spans="8:8" ht="15.65" customHeight="1">
      <c r="A14" s="50" t="s">
        <v>151</v>
      </c>
      <c r="B14" s="51"/>
      <c r="C14" s="51"/>
      <c r="D14" s="51"/>
      <c r="E14" s="51"/>
      <c r="F14" s="52"/>
      <c r="G14" s="25">
        <f>SUM(G2:G13)</f>
        <v>2136.0</v>
      </c>
      <c r="H14" s="25">
        <f t="shared" si="2" ref="H14:M14">SUM(H2:H13)</f>
        <v>1080.0</v>
      </c>
      <c r="I14" s="25">
        <f t="shared" si="2"/>
        <v>1034.0</v>
      </c>
      <c r="J14" s="25">
        <f t="shared" si="2"/>
        <v>-46.0</v>
      </c>
      <c r="K14" s="25">
        <f t="shared" si="2"/>
        <v>37.0</v>
      </c>
      <c r="L14" s="25">
        <f t="shared" si="2"/>
        <v>1065.0</v>
      </c>
      <c r="M14" s="25">
        <f t="shared" si="2"/>
        <v>0.0</v>
      </c>
    </row>
  </sheetData>
  <mergeCells count="2">
    <mergeCell ref="A2:A13"/>
    <mergeCell ref="A14:F14"/>
  </mergeCells>
  <pageMargins left="0.7" right="0.7" top="0.75" bottom="0.75" header="0.3" footer="0.3"/>
</worksheet>
</file>

<file path=docProps/app.xml><?xml version="1.0" encoding="utf-8"?>
<Properties xmlns="http://schemas.openxmlformats.org/officeDocument/2006/extended-properties">
  <Application>Kingsoft Office</Application>
  <DocSecurity>0</DocSecurity>
  <ScaleCrop>0</ScaleCrop>
  <LinksUpToDate>0</LinksUpToDate>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Tchammangue David YENTCHABRE</dc:creator>
  <cp:lastModifiedBy>User</cp:lastModifiedBy>
  <dcterms:created xsi:type="dcterms:W3CDTF">2025-11-10T15:55:57Z</dcterms:created>
  <dcterms:modified xsi:type="dcterms:W3CDTF">2025-12-27T18:51:44Z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d78755c18a314366b88c5ff624b2d444</vt:lpwstr>
  </property>
</Properties>
</file>